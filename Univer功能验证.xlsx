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1.xml" ContentType="application/vnd.openxmlformats-officedocument.spreadsheetml.table+xml"/>
  <Override PartName="/xl/worksheets/sheet10.xml" ContentType="application/vnd.openxmlformats-officedocument.spreadsheetml.worksheet+xml"/>
  <Override PartName="/xl/comments/comment1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worksheets/sheet14.xml" ContentType="application/vnd.openxmlformats-officedocument.spreadsheetml.worksheet+xml"/>
  <Override PartName="/xl/workbook.xml" ContentType="application/vnd.openxmlformats-officedocument.spreadsheetml.sheet.main+xml"/>
  <Override PartName="/xl/metadata.xml" ContentType="application/vnd.openxmlformats-officedocument.spreadsheetml.sheetMetadata+xml"/>
  <Override PartName="/xl/persons/person.xml" ContentType="application/vnd.ms-excel.person+xml"/>
  <Override PartName="/xl/threadedComments/threadedComment1.xml" ContentType="application/vnd.ms-excel.threadedcomment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验证清单" sheetId="1" state="visible" r:id="rId1"/>
    <sheet xmlns:r="http://schemas.openxmlformats.org/officeDocument/2006/relationships" name="样式" sheetId="2" state="visible" r:id="rId2"/>
    <sheet xmlns:r="http://schemas.openxmlformats.org/officeDocument/2006/relationships" name="数字格式" sheetId="3" state="visible" r:id="rId3"/>
    <sheet xmlns:r="http://schemas.openxmlformats.org/officeDocument/2006/relationships" name="公式" sheetId="4" state="visible" r:id="rId4"/>
    <sheet xmlns:r="http://schemas.openxmlformats.org/officeDocument/2006/relationships" name="表格操作" sheetId="5" state="visible" r:id="rId5"/>
    <sheet xmlns:r="http://schemas.openxmlformats.org/officeDocument/2006/relationships" name="排序筛选" sheetId="6" state="visible" r:id="rId6"/>
    <sheet xmlns:r="http://schemas.openxmlformats.org/officeDocument/2006/relationships" name="数据验证" sheetId="7" state="visible" r:id="rId7"/>
    <sheet xmlns:r="http://schemas.openxmlformats.org/officeDocument/2006/relationships" name="条件格式" sheetId="8" state="visible" r:id="rId8"/>
    <sheet xmlns:r="http://schemas.openxmlformats.org/officeDocument/2006/relationships" name="超级表" sheetId="9" state="visible" r:id="rId9"/>
    <sheet xmlns:r="http://schemas.openxmlformats.org/officeDocument/2006/relationships" name="批注评论" sheetId="10" state="visible" r:id="rId10"/>
    <sheet xmlns:r="http://schemas.openxmlformats.org/officeDocument/2006/relationships" name="保护-部分" sheetId="11" state="visible" r:id="rId11"/>
    <sheet xmlns:r="http://schemas.openxmlformats.org/officeDocument/2006/relationships" name="保护-整表" sheetId="12" state="visible" r:id="rId12"/>
    <sheet xmlns:r="http://schemas.openxmlformats.org/officeDocument/2006/relationships" name="链接图片" sheetId="13" state="visible" r:id="rId13"/>
    <sheet xmlns:r="http://schemas.openxmlformats.org/officeDocument/2006/relationships" name="隐藏工作表" sheetId="14" state="hidden" r:id="rId14"/>
  </sheets>
  <definedNames>
    <definedName name="税率" comment="全局常量">0.13</definedName>
    <definedName name="常数">42*2</definedName>
    <definedName name="单价区">'公式'!$I$5:$I$10</definedName>
    <definedName name="_xlnm._FilterDatabase" localSheetId="0" hidden="1">'验证清单'!$A$4:$H$52</definedName>
    <definedName name="本页目标" localSheetId="3">'公式'!$L$5</definedName>
    <definedName name="_xlnm._FilterDatabase" localSheetId="5" hidden="1">'排序筛选'!$A$4:$D$16</definedName>
  </definedName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>
  <numFmts count="16">
    <numFmt numFmtId="164" formatCode="yyyy-mm-dd"/>
    <numFmt numFmtId="165" formatCode="hh:mm:ss"/>
    <numFmt numFmtId="166" formatCode="yyyy-mm-dd h:mm:ss"/>
    <numFmt numFmtId="167" formatCode="yyyy-mm-dd hh:mm"/>
    <numFmt numFmtId="168" formatCode="¥#,##0.00"/>
    <numFmt numFmtId="169" formatCode="$#,##0.00;[Red]-$#,##0.00"/>
    <numFmt numFmtId="170" formatCode="#,##0.00;(#,##0.00)"/>
    <numFmt numFmtId="171" formatCode="000000"/>
    <numFmt numFmtId="172" formatCode="yyyy&quot;年&quot;m&quot;月&quot;d&quot;日&quot;"/>
    <numFmt numFmtId="173" formatCode="aaaa"/>
    <numFmt numFmtId="174" formatCode="[h]:mm"/>
    <numFmt numFmtId="175" formatCode="yyyy/m/d h:mm"/>
    <numFmt numFmtId="176" formatCode="[&gt;=1000]#,##0&quot;(大)&quot;;0&quot;(小)&quot;"/>
    <numFmt numFmtId="177" formatCode="0&quot;分&quot;"/>
    <numFmt numFmtId="178" formatCode="hh:mm"/>
    <numFmt numFmtId="179" formatCode="0.0"/>
  </numFmts>
  <fonts count="23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sz val="10"/>
    </font>
    <font>
      <name val="Times New Roman"/>
      <sz val="10"/>
    </font>
    <font>
      <name val="微软雅黑"/>
      <sz val="10"/>
    </font>
    <font>
      <name val="Arial"/>
      <sz val="18"/>
    </font>
    <font>
      <name val="Arial"/>
      <b val="1"/>
      <sz val="10"/>
    </font>
    <font>
      <name val="Arial"/>
      <i val="1"/>
      <sz val="10"/>
    </font>
    <font>
      <name val="Arial"/>
      <sz val="10"/>
      <u val="single"/>
    </font>
    <font>
      <name val="Arial"/>
      <strike val="1"/>
      <sz val="10"/>
    </font>
    <font>
      <name val="Arial"/>
      <color rgb="00C00000"/>
      <sz val="10"/>
    </font>
    <font>
      <name val="Arial"/>
      <sz val="10"/>
      <vertAlign val="superscript"/>
    </font>
    <font>
      <name val="Arial"/>
      <color rgb="00FFFFFF"/>
      <sz val="10"/>
    </font>
    <font>
      <name val="Arial"/>
      <color theme="5"/>
      <sz val="10"/>
    </font>
    <font>
      <name val="Consolas"/>
      <sz val="10"/>
    </font>
    <font>
      <name val="Arial"/>
      <color rgb="000563C1"/>
      <sz val="10"/>
      <u val="single"/>
    </font>
    <font>
      <name val="Arial"/>
      <b val="1"/>
      <color rgb="00006100"/>
      <sz val="10"/>
    </font>
    <font>
      <name val="Arial"/>
      <b val="1"/>
      <color rgb="009C0006"/>
      <sz val="10"/>
    </font>
    <font>
      <name val="Arial"/>
      <b val="1"/>
      <color rgb="00006100"/>
      <sz val="14"/>
    </font>
    <font>
      <name val="Arial"/>
      <b val="1"/>
      <color rgb="009C0006"/>
      <sz val="14"/>
    </font>
    <font>
      <name val="Arial"/>
      <b val="1"/>
      <sz val="14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theme="4" tint="-0.25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C00000"/>
      </patternFill>
    </fill>
    <fill>
      <patternFill patternType="solid">
        <fgColor rgb="00FFFF00"/>
      </patternFill>
    </fill>
  </fills>
  <borders count="11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ck">
        <color rgb="00000000"/>
      </left>
      <right style="thick">
        <color rgb="00000000"/>
      </right>
      <top style="thick">
        <color rgb="00000000"/>
      </top>
      <bottom style="thick">
        <color rgb="00000000"/>
      </bottom>
    </border>
    <border>
      <left style="dashed">
        <color rgb="00000000"/>
      </left>
      <right style="dashed">
        <color rgb="00000000"/>
      </right>
      <top style="dashed">
        <color rgb="00000000"/>
      </top>
      <bottom style="dashed">
        <color rgb="00000000"/>
      </bottom>
    </border>
    <border>
      <left style="dotted">
        <color rgb="00000000"/>
      </left>
      <right style="dotted">
        <color rgb="00000000"/>
      </right>
      <top style="dotted">
        <color rgb="00000000"/>
      </top>
      <bottom style="dotted">
        <color rgb="00000000"/>
      </bottom>
    </border>
    <border>
      <left style="double">
        <color rgb="00000000"/>
      </left>
      <right style="double">
        <color rgb="00000000"/>
      </right>
      <top style="double">
        <color rgb="00000000"/>
      </top>
      <bottom style="double">
        <color rgb="00000000"/>
      </bottom>
    </border>
    <border>
      <left style="thin">
        <color rgb="00FF0000"/>
      </left>
      <right style="thin">
        <color rgb="00FF0000"/>
      </right>
      <top style="thin">
        <color rgb="00FF0000"/>
      </top>
      <bottom style="thin">
        <color rgb="00FF0000"/>
      </bottom>
    </border>
    <border>
      <bottom style="medium">
        <color rgb="00000000"/>
      </bottom>
    </border>
    <border/>
  </borders>
  <cellStyleXfs count="1">
    <xf numFmtId="0" fontId="0" fillId="0" borderId="0"/>
  </cellStyleXfs>
  <cellXfs count="87">
    <xf numFmtId="0" fontId="0" fillId="0" borderId="0" pivotButton="0" quotePrefix="0" xfId="0"/>
    <xf numFmtId="0" fontId="1" fillId="0" borderId="0" pivotButton="0" quotePrefix="0" xfId="0"/>
    <xf numFmtId="0" fontId="18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2" fillId="0" borderId="0" pivotButton="0" quotePrefix="0" xfId="0"/>
    <xf numFmtId="0" fontId="20" fillId="0" borderId="0" applyAlignment="1" pivotButton="0" quotePrefix="0" xfId="0">
      <alignment horizontal="center"/>
    </xf>
    <xf numFmtId="0" fontId="21" fillId="0" borderId="0" applyAlignment="1" pivotButton="0" quotePrefix="0" xfId="0">
      <alignment horizontal="center"/>
    </xf>
    <xf numFmtId="0" fontId="2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17" fillId="0" borderId="1" applyAlignment="1" pivotButton="0" quotePrefix="0" xfId="0">
      <alignment vertical="center"/>
    </xf>
    <xf numFmtId="0" fontId="0" fillId="0" borderId="1" pivotButton="0" quotePrefix="0" xfId="0"/>
    <xf numFmtId="0" fontId="8" fillId="0" borderId="0" pivotButton="0" quotePrefix="0" xfId="0"/>
    <xf numFmtId="0" fontId="4" fillId="0" borderId="0" pivotButton="0" quotePrefix="0" xfId="0"/>
    <xf numFmtId="0" fontId="4" fillId="5" borderId="0" applyAlignment="1" pivotButton="0" quotePrefix="0" xfId="0">
      <alignment horizontal="center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/>
    </xf>
    <xf numFmtId="164" fontId="4" fillId="0" borderId="0" pivotButton="0" quotePrefix="0" xfId="0"/>
    <xf numFmtId="165" fontId="4" fillId="0" borderId="0" pivotButton="0" quotePrefix="0" xfId="0"/>
    <xf numFmtId="167" fontId="4" fillId="0" borderId="0" pivotButton="0" quotePrefix="0" xfId="0"/>
    <xf numFmtId="49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4" fillId="3" borderId="0" pivotButton="0" quotePrefix="0" xfId="0"/>
    <xf numFmtId="0" fontId="14" fillId="4" borderId="0" pivotButton="0" quotePrefix="0" xfId="0"/>
    <xf numFmtId="0" fontId="15" fillId="0" borderId="0" pivotButton="0" quotePrefix="0" xfId="0"/>
    <xf numFmtId="0" fontId="4" fillId="0" borderId="2" pivotButton="0" quotePrefix="0" xfId="0"/>
    <xf numFmtId="0" fontId="4" fillId="0" borderId="3" pivotButton="0" quotePrefix="0" xfId="0"/>
    <xf numFmtId="0" fontId="4" fillId="0" borderId="4" pivotButton="0" quotePrefix="0" xfId="0"/>
    <xf numFmtId="0" fontId="4" fillId="0" borderId="5" pivotButton="0" quotePrefix="0" xfId="0"/>
    <xf numFmtId="0" fontId="4" fillId="0" borderId="6" pivotButton="0" quotePrefix="0" xfId="0"/>
    <xf numFmtId="0" fontId="4" fillId="0" borderId="7" pivotButton="0" quotePrefix="0" xfId="0"/>
    <xf numFmtId="0" fontId="4" fillId="0" borderId="8" pivotButton="0" quotePrefix="0" xfId="0"/>
    <xf numFmtId="0" fontId="4" fillId="0" borderId="9" pivotButton="0" quotePrefix="0" xfId="0"/>
    <xf numFmtId="0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applyAlignment="1" pivotButton="0" quotePrefix="0" xfId="0">
      <alignment vertical="top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bottom"/>
    </xf>
    <xf numFmtId="0" fontId="4" fillId="0" borderId="0" applyAlignment="1" pivotButton="0" quotePrefix="0" xfId="0">
      <alignment wrapText="1"/>
    </xf>
    <xf numFmtId="0" fontId="4" fillId="0" borderId="0" applyAlignment="1" pivotButton="0" quotePrefix="0" xfId="0">
      <alignment indent="2"/>
    </xf>
    <xf numFmtId="0" fontId="4" fillId="0" borderId="0" applyAlignment="1" pivotButton="0" quotePrefix="0" xfId="0">
      <alignment textRotation="45"/>
    </xf>
    <xf numFmtId="0" fontId="4" fillId="0" borderId="0" applyAlignment="1" pivotButton="0" quotePrefix="0" xfId="0">
      <alignment textRotation="135"/>
    </xf>
    <xf numFmtId="0" fontId="4" fillId="0" borderId="0" applyAlignment="1" pivotButton="0" quotePrefix="0" xfId="0">
      <alignment textRotation="255"/>
    </xf>
    <xf numFmtId="2" fontId="8" fillId="0" borderId="0" pivotButton="0" quotePrefix="0" xfId="0"/>
    <xf numFmtId="3" fontId="8" fillId="0" borderId="0" pivotButton="0" quotePrefix="0" xfId="0"/>
    <xf numFmtId="4" fontId="8" fillId="0" borderId="0" pivotButton="0" quotePrefix="0" xfId="0"/>
    <xf numFmtId="168" fontId="8" fillId="0" borderId="0" pivotButton="0" quotePrefix="0" xfId="0"/>
    <xf numFmtId="169" fontId="8" fillId="0" borderId="0" pivotButton="0" quotePrefix="0" xfId="0"/>
    <xf numFmtId="170" fontId="8" fillId="0" borderId="0" pivotButton="0" quotePrefix="0" xfId="0"/>
    <xf numFmtId="9" fontId="8" fillId="0" borderId="0" pivotButton="0" quotePrefix="0" xfId="0"/>
    <xf numFmtId="10" fontId="8" fillId="0" borderId="0" pivotButton="0" quotePrefix="0" xfId="0"/>
    <xf numFmtId="11" fontId="8" fillId="0" borderId="0" pivotButton="0" quotePrefix="0" xfId="0"/>
    <xf numFmtId="12" fontId="8" fillId="0" borderId="0" pivotButton="0" quotePrefix="0" xfId="0"/>
    <xf numFmtId="171" fontId="8" fillId="0" borderId="0" pivotButton="0" quotePrefix="0" xfId="0"/>
    <xf numFmtId="164" fontId="8" fillId="0" borderId="0" pivotButton="0" quotePrefix="0" xfId="0"/>
    <xf numFmtId="172" fontId="8" fillId="0" borderId="0" pivotButton="0" quotePrefix="0" xfId="0"/>
    <xf numFmtId="173" fontId="8" fillId="0" borderId="0" pivotButton="0" quotePrefix="0" xfId="0"/>
    <xf numFmtId="165" fontId="8" fillId="0" borderId="0" pivotButton="0" quotePrefix="0" xfId="0"/>
    <xf numFmtId="18" fontId="8" fillId="0" borderId="0" pivotButton="0" quotePrefix="0" xfId="0"/>
    <xf numFmtId="174" fontId="8" fillId="0" borderId="0" pivotButton="0" quotePrefix="0" xfId="0"/>
    <xf numFmtId="175" fontId="8" fillId="0" borderId="0" pivotButton="0" quotePrefix="0" xfId="0"/>
    <xf numFmtId="176" fontId="8" fillId="0" borderId="0" pivotButton="0" quotePrefix="0" xfId="0"/>
    <xf numFmtId="177" fontId="8" fillId="0" borderId="0" pivotButton="0" quotePrefix="0" xfId="0"/>
    <xf numFmtId="0" fontId="3" fillId="2" borderId="0" pivotButton="0" quotePrefix="0" xfId="0"/>
    <xf numFmtId="0" fontId="16" fillId="0" borderId="0" pivotButton="0" quotePrefix="0" xfId="0"/>
    <xf numFmtId="0" fontId="3" fillId="8" borderId="0" pivotButton="0" quotePrefix="0" xfId="0"/>
    <xf numFmtId="0" fontId="4" fillId="9" borderId="0" pivotButton="0" quotePrefix="0" xfId="0"/>
    <xf numFmtId="178" fontId="4" fillId="0" borderId="0" pivotButton="0" quotePrefix="0" xfId="0"/>
    <xf numFmtId="0" fontId="3" fillId="2" borderId="0" applyAlignment="1" pivotButton="0" quotePrefix="0" xfId="0">
      <alignment horizontal="center" wrapText="1"/>
    </xf>
    <xf numFmtId="0" fontId="2" fillId="0" borderId="0" applyAlignment="1" pivotButton="0" quotePrefix="0" xfId="0">
      <alignment vertical="top" wrapText="1"/>
    </xf>
    <xf numFmtId="0" fontId="8" fillId="0" borderId="10" applyAlignment="1" pivotButton="0" quotePrefix="0" xfId="0">
      <alignment horizontal="center" vertical="center"/>
    </xf>
    <xf numFmtId="3" fontId="4" fillId="0" borderId="0" pivotButton="0" quotePrefix="0" xfId="0"/>
    <xf numFmtId="179" fontId="4" fillId="0" borderId="0" pivotButton="0" quotePrefix="0" xfId="0"/>
    <xf numFmtId="3" fontId="2" fillId="0" borderId="0" pivotButton="0" quotePrefix="0" xfId="0"/>
    <xf numFmtId="0" fontId="4" fillId="3" borderId="0" applyProtection="1" pivotButton="0" quotePrefix="0" xfId="0">
      <protection locked="0" hidden="0"/>
    </xf>
    <xf numFmtId="0" fontId="17" fillId="0" borderId="0" pivotButton="0" quotePrefix="0" xfId="0"/>
  </cellXfs>
  <cellStyles count="1">
    <cellStyle name="Normal" xfId="0" builtinId="0" hidden="0"/>
  </cellStyles>
  <dxfs count="3">
    <dxf>
      <font>
        <color rgb="009C0006"/>
      </font>
      <fill>
        <patternFill patternType="solid">
          <bgColor rgb="00FFC7CE"/>
        </patternFill>
      </fill>
    </dxf>
    <dxf>
      <font>
        <color rgb="00006100"/>
      </font>
      <fill>
        <patternFill patternType="solid">
          <bgColor rgb="00C6EFCE"/>
        </patternFill>
      </fill>
    </dxf>
    <dxf>
      <font>
        <color rgb="009C5700"/>
      </font>
      <fill>
        <patternFill patternType="solid"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Relationship Id="rIdMeta1" Type="http://schemas.openxmlformats.org/officeDocument/2006/relationships/sheetMetadata" Target="metadata.xml"/><Relationship Id="rIdPerson1" Type="http://schemas.microsoft.com/office/2017/10/relationships/person" Target="persons/person.xml"/></Relationships>
</file>

<file path=xl/comments/comment1.xml><?xml version="1.0" encoding="utf-8"?>
<comments xmlns="http://schemas.openxmlformats.org/spreadsheetml/2006/main">
  <authors>
    <author>王经理</author>
    <author>tc={EDABC15C-8B0E-49EC-806F-A83A4F0CD77B}</author>
    <author>tc={058F6EF6-5535-411D-808C-BBE61E8F5CA7}</author>
  </authors>
  <commentList>
    <comment ref="A5" authorId="0" shapeId="0">
      <text>
        <t>这是一条批注</t>
      </text>
    </comment>
    <comment ref="A6" authorId="0" shapeId="0">
      <text>
        <t>第一行
第二行
第三行</t>
      </text>
    </comment>
    <comment ref="A8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这个数字需要再确认一下来源
Reply:
    已经和财务核对过，没问题</t>
      </text>
    </comment>
    <comment ref="A9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格式统一成两位小数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jpeg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3</row>
      <rowOff>0</rowOff>
    </from>
    <ext cx="2286000" cy="1428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13</row>
      <rowOff>0</rowOff>
    </from>
    <ext cx="1524000" cy="95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persons/person.xml><?xml version="1.0" encoding="utf-8"?>
<personList xmlns="http://schemas.microsoft.com/office/spreadsheetml/2018/threadedcomments" xmlns:x="http://schemas.openxmlformats.org/spreadsheetml/2006/main">
  <person displayName="王经理" id="{00000001-0000-4000-8000-000000000001}" userId="王经理" providerId="None"/>
  <person displayName="小李" id="{00000002-0000-4000-8000-000000000002}" userId="小李" providerId="None"/>
</personList>
</file>

<file path=xl/tables/table1.xml><?xml version="1.0" encoding="utf-8"?>
<table xmlns="http://schemas.openxmlformats.org/spreadsheetml/2006/main" id="1" name="员工表" displayName="员工表" ref="A4:E10" headerRowCount="1">
  <autoFilter ref="A4:E10"/>
  <tableColumns count="5">
    <tableColumn id="1" name="员工"/>
    <tableColumn id="2" name="部门"/>
    <tableColumn id="3" name="基本工资"/>
    <tableColumn id="4" name="绩效系数"/>
    <tableColumn id="5" name="实发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8" dT="2026-09-28T10:15:00.00" personId="{00000001-0000-4000-8000-000000000001}" id="{EDABC15C-8B0E-49EC-806F-A83A4F0CD77B}">
    <text>这个数字需要再确认一下来源</text>
  </threadedComment>
  <threadedComment ref="A8" dT="2026-09-28T11:02:00.00" personId="{00000002-0000-4000-8000-000000000002}" id="{45B24C04-0BE0-4793-9960-A21D94C026DD}" parentId="{EDABC15C-8B0E-49EC-806F-A83A4F0CD77B}">
    <text>已经和财务核对过，没问题</text>
  </threadedComment>
  <threadedComment ref="A9" dT="2026-09-27T16:20:00.00" personId="{00000002-0000-4000-8000-000000000002}" id="{058F6EF6-5535-411D-808C-BBE61E8F5CA7}" done="1">
    <text>格式统一成两位小数</text>
  </threadedComment>
</ThreadedComments>
</file>

<file path=xl/worksheets/_rels/sheet1.xml.rels><Relationships xmlns="http://schemas.openxmlformats.org/package/2006/relationships"><Relationship Type="http://schemas.openxmlformats.org/officeDocument/2006/relationships/hyperlink" Target="#'&#26679;&#24335;'!B5" TargetMode="External" Id="rId1"/><Relationship Type="http://schemas.openxmlformats.org/officeDocument/2006/relationships/hyperlink" Target="#'&#26679;&#24335;'!B14" TargetMode="External" Id="rId2"/><Relationship Type="http://schemas.openxmlformats.org/officeDocument/2006/relationships/hyperlink" Target="#'&#26679;&#24335;'!B16" TargetMode="External" Id="rId3"/><Relationship Type="http://schemas.openxmlformats.org/officeDocument/2006/relationships/hyperlink" Target="#'&#26679;&#24335;'!B27" TargetMode="External" Id="rId4"/><Relationship Type="http://schemas.openxmlformats.org/officeDocument/2006/relationships/hyperlink" Target="#'&#26679;&#24335;'!B31" TargetMode="External" Id="rId5"/><Relationship Type="http://schemas.openxmlformats.org/officeDocument/2006/relationships/hyperlink" Target="#'&#26679;&#24335;'!B40" TargetMode="External" Id="rId6"/><Relationship Type="http://schemas.openxmlformats.org/officeDocument/2006/relationships/hyperlink" Target="#'&#26679;&#24335;'!E5" TargetMode="External" Id="rId7"/><Relationship Type="http://schemas.openxmlformats.org/officeDocument/2006/relationships/hyperlink" Target="#'&#25968;&#23383;&#26684;&#24335;'!D5" TargetMode="External" Id="rId8"/><Relationship Type="http://schemas.openxmlformats.org/officeDocument/2006/relationships/hyperlink" Target="#'&#20844;&#24335;'!E5" TargetMode="External" Id="rId9"/><Relationship Type="http://schemas.openxmlformats.org/officeDocument/2006/relationships/hyperlink" Target="#'&#20844;&#24335;'!C14" TargetMode="External" Id="rId10"/><Relationship Type="http://schemas.openxmlformats.org/officeDocument/2006/relationships/hyperlink" Target="#'&#20844;&#24335;'!C15" TargetMode="External" Id="rId11"/><Relationship Type="http://schemas.openxmlformats.org/officeDocument/2006/relationships/hyperlink" Target="#'&#20844;&#24335;'!C16" TargetMode="External" Id="rId12"/><Relationship Type="http://schemas.openxmlformats.org/officeDocument/2006/relationships/hyperlink" Target="#'&#20844;&#24335;'!C20" TargetMode="External" Id="rId13"/><Relationship Type="http://schemas.openxmlformats.org/officeDocument/2006/relationships/hyperlink" Target="#'&#20844;&#24335;'!C27" TargetMode="External" Id="rId14"/><Relationship Type="http://schemas.openxmlformats.org/officeDocument/2006/relationships/hyperlink" Target="#'&#20844;&#24335;'!C29" TargetMode="External" Id="rId15"/><Relationship Type="http://schemas.openxmlformats.org/officeDocument/2006/relationships/hyperlink" Target="#'&#34920;&#26684;&#25805;&#20316;'!A5" TargetMode="External" Id="rId16"/><Relationship Type="http://schemas.openxmlformats.org/officeDocument/2006/relationships/hyperlink" Target="#'&#34920;&#26684;&#25805;&#20316;'!A6" TargetMode="External" Id="rId17"/><Relationship Type="http://schemas.openxmlformats.org/officeDocument/2006/relationships/hyperlink" Target="#'&#34920;&#26684;&#25805;&#20316;'!A10" TargetMode="External" Id="rId18"/><Relationship Type="http://schemas.openxmlformats.org/officeDocument/2006/relationships/hyperlink" Target="#'&#34920;&#26684;&#25805;&#20316;'!A11" TargetMode="External" Id="rId19"/><Relationship Type="http://schemas.openxmlformats.org/officeDocument/2006/relationships/hyperlink" Target="#'&#34920;&#26684;&#25805;&#20316;'!A1" TargetMode="External" Id="rId20"/><Relationship Type="http://schemas.openxmlformats.org/officeDocument/2006/relationships/hyperlink" Target="#'&#34920;&#26684;&#25805;&#20316;'!B13" TargetMode="External" Id="rId21"/><Relationship Type="http://schemas.openxmlformats.org/officeDocument/2006/relationships/hyperlink" Target="#'&#34920;&#26684;&#25805;&#20316;'!B24" TargetMode="External" Id="rId22"/><Relationship Type="http://schemas.openxmlformats.org/officeDocument/2006/relationships/hyperlink" Target="#'&#34920;&#26684;&#25805;&#20316;'!B27" TargetMode="External" Id="rId23"/><Relationship Type="http://schemas.openxmlformats.org/officeDocument/2006/relationships/hyperlink" Target="#'&#34920;&#26684;&#25805;&#20316;'!B30" TargetMode="External" Id="rId24"/><Relationship Type="http://schemas.openxmlformats.org/officeDocument/2006/relationships/hyperlink" Target="#'&#34920;&#26684;&#25805;&#20316;'!A34" TargetMode="External" Id="rId25"/><Relationship Type="http://schemas.openxmlformats.org/officeDocument/2006/relationships/hyperlink" Target="#'&#25490;&#24207;&#31579;&#36873;'!B4" TargetMode="External" Id="rId26"/><Relationship Type="http://schemas.openxmlformats.org/officeDocument/2006/relationships/hyperlink" Target="#'&#25490;&#24207;&#31579;&#36873;'!D4" TargetMode="External" Id="rId27"/><Relationship Type="http://schemas.openxmlformats.org/officeDocument/2006/relationships/hyperlink" Target="#'&#25968;&#25454;&#39564;&#35777;'!B5" TargetMode="External" Id="rId28"/><Relationship Type="http://schemas.openxmlformats.org/officeDocument/2006/relationships/hyperlink" Target="#'&#25968;&#25454;&#39564;&#35777;'!B8" TargetMode="External" Id="rId29"/><Relationship Type="http://schemas.openxmlformats.org/officeDocument/2006/relationships/hyperlink" Target="#'&#25968;&#25454;&#39564;&#35777;'!B7" TargetMode="External" Id="rId30"/><Relationship Type="http://schemas.openxmlformats.org/officeDocument/2006/relationships/hyperlink" Target="#'&#26465;&#20214;&#26684;&#24335;'!A4" TargetMode="External" Id="rId31"/><Relationship Type="http://schemas.openxmlformats.org/officeDocument/2006/relationships/hyperlink" Target="#'&#26465;&#20214;&#26684;&#24335;'!D4" TargetMode="External" Id="rId32"/><Relationship Type="http://schemas.openxmlformats.org/officeDocument/2006/relationships/hyperlink" Target="#'&#26465;&#20214;&#26684;&#24335;'!G4" TargetMode="External" Id="rId33"/><Relationship Type="http://schemas.openxmlformats.org/officeDocument/2006/relationships/hyperlink" Target="#'&#26465;&#20214;&#26684;&#24335;'!H4" TargetMode="External" Id="rId34"/><Relationship Type="http://schemas.openxmlformats.org/officeDocument/2006/relationships/hyperlink" Target="#'&#26465;&#20214;&#26684;&#24335;'!L4" TargetMode="External" Id="rId35"/><Relationship Type="http://schemas.openxmlformats.org/officeDocument/2006/relationships/hyperlink" Target="#'&#26465;&#20214;&#26684;&#24335;'!N4" TargetMode="External" Id="rId36"/><Relationship Type="http://schemas.openxmlformats.org/officeDocument/2006/relationships/hyperlink" Target="#'&#26465;&#20214;&#26684;&#24335;'!O4" TargetMode="External" Id="rId37"/><Relationship Type="http://schemas.openxmlformats.org/officeDocument/2006/relationships/hyperlink" Target="#'&#36229;&#32423;&#34920;'!A4" TargetMode="External" Id="rId38"/><Relationship Type="http://schemas.openxmlformats.org/officeDocument/2006/relationships/hyperlink" Target="#'&#25209;&#27880;&#35780;&#35770;'!A5" TargetMode="External" Id="rId39"/><Relationship Type="http://schemas.openxmlformats.org/officeDocument/2006/relationships/hyperlink" Target="#'&#25209;&#27880;&#35780;&#35770;'!A8" TargetMode="External" Id="rId40"/><Relationship Type="http://schemas.openxmlformats.org/officeDocument/2006/relationships/hyperlink" Target="#'&#20445;&#25252;-&#37096;&#20998;'!B5" TargetMode="External" Id="rId41"/><Relationship Type="http://schemas.openxmlformats.org/officeDocument/2006/relationships/hyperlink" Target="#'&#20445;&#25252;-&#25972;&#34920;'!A4" TargetMode="External" Id="rId42"/><Relationship Type="http://schemas.openxmlformats.org/officeDocument/2006/relationships/hyperlink" Target="#'&#38142;&#25509;&#22270;&#29255;'!A4" TargetMode="External" Id="rId43"/><Relationship Type="http://schemas.openxmlformats.org/officeDocument/2006/relationships/hyperlink" Target="#'&#38142;&#25509;&#22270;&#29255;'!D4" TargetMode="External" Id="rId44"/><Relationship Type="http://schemas.openxmlformats.org/officeDocument/2006/relationships/hyperlink" Target="#'&#39564;&#35777;&#28165;&#21333;'!A1" TargetMode="External" Id="rId45"/><Relationship Type="http://schemas.openxmlformats.org/officeDocument/2006/relationships/hyperlink" Target="#'&#20844;&#24335;'!H5" TargetMode="External" Id="rId46"/><Relationship Type="http://schemas.openxmlformats.org/officeDocument/2006/relationships/hyperlink" Target="#'&#39564;&#35777;&#28165;&#21333;'!A1" TargetMode="External" Id="rId47"/><Relationship Type="http://schemas.openxmlformats.org/officeDocument/2006/relationships/hyperlink" Target="#'&#38142;&#25509;&#22270;&#29255;'!D25" TargetMode="External" Id="rId48"/></Relationships>
</file>

<file path=xl/worksheets/_rels/sheet9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Relationship Id="rIdTC1" Type="http://schemas.microsoft.com/office/2017/10/relationships/threadedComment" Target="../threadedComments/threadedComment1.xml"/></Relationships>
</file>

<file path=xl/worksheets/_rels/sheet13.xml.rels><Relationships xmlns="http://schemas.openxmlformats.org/package/2006/relationships"><Relationship Type="http://schemas.openxmlformats.org/officeDocument/2006/relationships/hyperlink" Target="https://univer.ai" TargetMode="External" Id="rId1"/><Relationship Type="http://schemas.openxmlformats.org/officeDocument/2006/relationships/hyperlink" Target="#'&#20844;&#24335;'!C5" TargetMode="External" Id="rId2"/><Relationship Type="http://schemas.openxmlformats.org/officeDocument/2006/relationships/hyperlink" Target="#'&#36229;&#32423;&#34920;'!A4" TargetMode="External" Id="rId3"/><Relationship Type="http://schemas.openxmlformats.org/officeDocument/2006/relationships/hyperlink" Target="mailto:test@example.com" TargetMode="External" Id="rId4"/><Relationship Type="http://schemas.openxmlformats.org/officeDocument/2006/relationships/drawing" Target="/xl/drawings/drawing1.xml" Id="rId5"/></Relationships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H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44" customWidth="1" min="3" max="3"/>
    <col width="16" customWidth="1" min="4" max="4"/>
    <col width="34" customWidth="1" min="5" max="5"/>
    <col width="50" customWidth="1" min="6" max="6"/>
    <col width="12" customWidth="1" min="7" max="7"/>
    <col width="30" customWidth="1" min="8" max="8"/>
  </cols>
  <sheetData>
    <row r="1">
      <c r="A1" s="1" t="inlineStr">
        <is>
          <t>Univer 功能验证清单</t>
        </is>
      </c>
      <c r="D1" s="2" t="inlineStr">
        <is>
          <t>通过</t>
        </is>
      </c>
      <c r="E1" s="3" t="inlineStr">
        <is>
          <t>不通过</t>
        </is>
      </c>
      <c r="F1" s="4" t="inlineStr">
        <is>
          <t>未验证</t>
        </is>
      </c>
    </row>
    <row r="2" ht="22" customHeight="1">
      <c r="A2" s="5" t="inlineStr"/>
      <c r="D2" s="6">
        <f>COUNTIF(G5:G52,"通过")</f>
        <v>0</v>
      </c>
      <c r="E2" s="7">
        <f>COUNTIF(G5:G52,"不通过")</f>
        <v>0</v>
      </c>
      <c r="F2" s="8">
        <f>COUNTIF(G5:G52,"未验证")</f>
        <v>48</v>
      </c>
    </row>
    <row r="3">
      <c r="A3" s="5" t="inlineStr">
        <is>
          <t>逐项点“位置”链接核对，在 G 列选“通过 / 不通过”，D1:F2 自动统计</t>
        </is>
      </c>
    </row>
    <row r="4">
      <c r="A4" s="9" t="inlineStr">
        <is>
          <t>编号</t>
        </is>
      </c>
      <c r="B4" s="9" t="inlineStr">
        <is>
          <t>功能领域</t>
        </is>
      </c>
      <c r="C4" s="9" t="inlineStr">
        <is>
          <t>功能</t>
        </is>
      </c>
      <c r="D4" s="9" t="inlineStr">
        <is>
          <t>位置</t>
        </is>
      </c>
      <c r="E4" s="9" t="inlineStr">
        <is>
          <t>怎么验证</t>
        </is>
      </c>
      <c r="F4" s="9" t="inlineStr">
        <is>
          <t>预期结果</t>
        </is>
      </c>
      <c r="G4" s="9" t="inlineStr">
        <is>
          <t>验证结果</t>
        </is>
      </c>
      <c r="H4" s="9" t="inlineStr">
        <is>
          <t>备注</t>
        </is>
      </c>
    </row>
    <row r="5" ht="30" customHeight="1">
      <c r="A5" s="10" t="n">
        <v>1</v>
      </c>
      <c r="B5" s="11" t="inlineStr">
        <is>
          <t>单元格与样式</t>
        </is>
      </c>
      <c r="C5" s="12" t="inlineStr">
        <is>
          <t>值和类型：文本、数字、布尔、日期、时间</t>
        </is>
      </c>
      <c r="D5" s="13" t="inlineStr">
        <is>
          <t>样式!B5</t>
        </is>
      </c>
      <c r="E5" s="12" t="inlineStr">
        <is>
          <t>看 B5:B13</t>
        </is>
      </c>
      <c r="F5" s="12" t="inlineStr">
        <is>
          <t>显示与 C 列说明一致，日期/时间格式正确</t>
        </is>
      </c>
      <c r="G5" s="10" t="inlineStr">
        <is>
          <t>未验证</t>
        </is>
      </c>
      <c r="H5" s="14" t="n"/>
    </row>
    <row r="6" ht="30" customHeight="1">
      <c r="A6" s="10" t="n">
        <v>2</v>
      </c>
      <c r="B6" s="11" t="inlineStr">
        <is>
          <t>单元格与样式</t>
        </is>
      </c>
      <c r="C6" s="12" t="inlineStr">
        <is>
          <t>富文本</t>
        </is>
      </c>
      <c r="D6" s="13" t="inlineStr">
        <is>
          <t>样式!B14</t>
        </is>
      </c>
      <c r="E6" s="12" t="inlineStr">
        <is>
          <t>看 B14</t>
        </is>
      </c>
      <c r="F6" s="12" t="inlineStr">
        <is>
          <t>一个单元格里有三种不同格式的文字</t>
        </is>
      </c>
      <c r="G6" s="10" t="inlineStr">
        <is>
          <t>未验证</t>
        </is>
      </c>
      <c r="H6" s="14" t="n"/>
    </row>
    <row r="7" ht="30" customHeight="1">
      <c r="A7" s="10" t="n">
        <v>3</v>
      </c>
      <c r="B7" s="11" t="inlineStr">
        <is>
          <t>单元格与样式</t>
        </is>
      </c>
      <c r="C7" s="12" t="inlineStr">
        <is>
          <t>字体、字号、粗斜体、下划线、删除线、颜色</t>
        </is>
      </c>
      <c r="D7" s="13" t="inlineStr">
        <is>
          <t>样式!B16</t>
        </is>
      </c>
      <c r="E7" s="12" t="inlineStr">
        <is>
          <t>看 B16:B25</t>
        </is>
      </c>
      <c r="F7" s="12" t="inlineStr">
        <is>
          <t>每格效果与 C 列说明一致</t>
        </is>
      </c>
      <c r="G7" s="10" t="inlineStr">
        <is>
          <t>未验证</t>
        </is>
      </c>
      <c r="H7" s="14" t="n"/>
    </row>
    <row r="8" ht="30" customHeight="1">
      <c r="A8" s="10" t="n">
        <v>4</v>
      </c>
      <c r="B8" s="11" t="inlineStr">
        <is>
          <t>单元格与样式</t>
        </is>
      </c>
      <c r="C8" s="12" t="inlineStr">
        <is>
          <t>填充色、主题色（含色调）</t>
        </is>
      </c>
      <c r="D8" s="13" t="inlineStr">
        <is>
          <t>样式!B27</t>
        </is>
      </c>
      <c r="E8" s="12" t="inlineStr">
        <is>
          <t>看 B27:B29</t>
        </is>
      </c>
      <c r="F8" s="12" t="inlineStr">
        <is>
          <t>浅黄底、深蓝底白字、橙色文字</t>
        </is>
      </c>
      <c r="G8" s="10" t="inlineStr">
        <is>
          <t>未验证</t>
        </is>
      </c>
      <c r="H8" s="14" t="n"/>
    </row>
    <row r="9" ht="30" customHeight="1">
      <c r="A9" s="10" t="n">
        <v>5</v>
      </c>
      <c r="B9" s="11" t="inlineStr">
        <is>
          <t>单元格与样式</t>
        </is>
      </c>
      <c r="C9" s="12" t="inlineStr">
        <is>
          <t>边框：细/中/粗/虚线/点线/双线/彩色/单边</t>
        </is>
      </c>
      <c r="D9" s="13" t="inlineStr">
        <is>
          <t>样式!B31</t>
        </is>
      </c>
      <c r="E9" s="12" t="inlineStr">
        <is>
          <t>看 B31:B38</t>
        </is>
      </c>
      <c r="F9" s="12" t="inlineStr">
        <is>
          <t>每格边框样式与名称一致</t>
        </is>
      </c>
      <c r="G9" s="10" t="inlineStr">
        <is>
          <t>未验证</t>
        </is>
      </c>
      <c r="H9" s="14" t="n"/>
    </row>
    <row r="10" ht="30" customHeight="1">
      <c r="A10" s="10" t="n">
        <v>6</v>
      </c>
      <c r="B10" s="11" t="inlineStr">
        <is>
          <t>单元格与样式</t>
        </is>
      </c>
      <c r="C10" s="12" t="inlineStr">
        <is>
          <t>对齐、换行、缩进、旋转、竖排</t>
        </is>
      </c>
      <c r="D10" s="13" t="inlineStr">
        <is>
          <t>样式!B40</t>
        </is>
      </c>
      <c r="E10" s="12" t="inlineStr">
        <is>
          <t>看 B40:B50</t>
        </is>
      </c>
      <c r="F10" s="12" t="inlineStr">
        <is>
          <t>每格效果与 C 列说明一致</t>
        </is>
      </c>
      <c r="G10" s="10" t="inlineStr">
        <is>
          <t>未验证</t>
        </is>
      </c>
      <c r="H10" s="14" t="n"/>
    </row>
    <row r="11" ht="30" customHeight="1">
      <c r="A11" s="10" t="n">
        <v>7</v>
      </c>
      <c r="B11" s="11" t="inlineStr">
        <is>
          <t>单元格与样式</t>
        </is>
      </c>
      <c r="C11" s="12" t="inlineStr">
        <is>
          <t>合并单元格（横向、纵向、区域）</t>
        </is>
      </c>
      <c r="D11" s="13" t="inlineStr">
        <is>
          <t>样式!E5</t>
        </is>
      </c>
      <c r="E11" s="12" t="inlineStr">
        <is>
          <t>看 E5:H10</t>
        </is>
      </c>
      <c r="F11" s="12" t="inlineStr">
        <is>
          <t>三块合并区域，文字居中</t>
        </is>
      </c>
      <c r="G11" s="10" t="inlineStr">
        <is>
          <t>未验证</t>
        </is>
      </c>
      <c r="H11" s="14" t="n"/>
    </row>
    <row r="12" ht="30" customHeight="1">
      <c r="A12" s="10" t="n">
        <v>8</v>
      </c>
      <c r="B12" s="11" t="inlineStr">
        <is>
          <t>数字格式</t>
        </is>
      </c>
      <c r="C12" s="12" t="inlineStr">
        <is>
          <t>Excel 格式串（小数、千分位、货币、负数、百分比、科学计数、分数、日期、时间、条件格式）</t>
        </is>
      </c>
      <c r="D12" s="13" t="inlineStr">
        <is>
          <t>数字格式!D5</t>
        </is>
      </c>
      <c r="E12" s="12" t="inlineStr">
        <is>
          <t>逐行对比 D 列和 E 列</t>
        </is>
      </c>
      <c r="F12" s="12" t="inlineStr">
        <is>
          <t>D 列显示与 E 列预期一致</t>
        </is>
      </c>
      <c r="G12" s="10" t="inlineStr">
        <is>
          <t>未验证</t>
        </is>
      </c>
      <c r="H12" s="14" t="n"/>
    </row>
    <row r="13" ht="30" customHeight="1">
      <c r="A13" s="10" t="n">
        <v>9</v>
      </c>
      <c r="B13" s="11" t="inlineStr">
        <is>
          <t>公式</t>
        </is>
      </c>
      <c r="C13" s="12" t="inlineStr">
        <is>
          <t>常用函数（SUM/IF/VLOOKUP/INDEX/SUMIFS/TEXT/IFERROR 等）</t>
        </is>
      </c>
      <c r="D13" s="13" t="inlineStr">
        <is>
          <t>公式!E5</t>
        </is>
      </c>
      <c r="E13" s="12" t="inlineStr">
        <is>
          <t>看 E5:E13</t>
        </is>
      </c>
      <c r="F13" s="12" t="inlineStr">
        <is>
          <t>全部显示 ✓ 一致</t>
        </is>
      </c>
      <c r="G13" s="10" t="inlineStr">
        <is>
          <t>未验证</t>
        </is>
      </c>
      <c r="H13" s="14" t="n"/>
    </row>
    <row r="14" ht="30" customHeight="1">
      <c r="A14" s="10" t="n">
        <v>10</v>
      </c>
      <c r="B14" s="11" t="inlineStr">
        <is>
          <t>公式</t>
        </is>
      </c>
      <c r="C14" s="12" t="inlineStr">
        <is>
          <t>传统数组公式</t>
        </is>
      </c>
      <c r="D14" s="13" t="inlineStr">
        <is>
          <t>公式!C14</t>
        </is>
      </c>
      <c r="E14" s="12" t="inlineStr">
        <is>
          <t>看 E14</t>
        </is>
      </c>
      <c r="F14" s="12" t="inlineStr">
        <is>
          <t>✓ 一致</t>
        </is>
      </c>
      <c r="G14" s="10" t="inlineStr">
        <is>
          <t>未验证</t>
        </is>
      </c>
      <c r="H14" s="14" t="n"/>
    </row>
    <row r="15" ht="30" customHeight="1">
      <c r="A15" s="10" t="n">
        <v>11</v>
      </c>
      <c r="B15" s="11" t="inlineStr">
        <is>
          <t>公式</t>
        </is>
      </c>
      <c r="C15" s="12" t="inlineStr">
        <is>
          <t>跨表引用</t>
        </is>
      </c>
      <c r="D15" s="13" t="inlineStr">
        <is>
          <t>公式!C15</t>
        </is>
      </c>
      <c r="E15" s="12" t="inlineStr">
        <is>
          <t>看 E15</t>
        </is>
      </c>
      <c r="F15" s="12" t="inlineStr">
        <is>
          <t>✓ 一致</t>
        </is>
      </c>
      <c r="G15" s="10" t="inlineStr">
        <is>
          <t>未验证</t>
        </is>
      </c>
      <c r="H15" s="14" t="n"/>
    </row>
    <row r="16" ht="30" customHeight="1">
      <c r="A16" s="10" t="n">
        <v>12</v>
      </c>
      <c r="B16" s="11" t="inlineStr">
        <is>
          <t>公式</t>
        </is>
      </c>
      <c r="C16" s="12" t="inlineStr">
        <is>
          <t>定义名称（全局 / 本表作用域 / 公式型 / 区域）</t>
        </is>
      </c>
      <c r="D16" s="13" t="inlineStr">
        <is>
          <t>公式!C16</t>
        </is>
      </c>
      <c r="E16" s="12" t="inlineStr">
        <is>
          <t>看 E16:E19；公式 → 名称管理里能看到 4 个名称</t>
        </is>
      </c>
      <c r="F16" s="12" t="inlineStr">
        <is>
          <t>全部 ✓ 一致</t>
        </is>
      </c>
      <c r="G16" s="10" t="inlineStr">
        <is>
          <t>未验证</t>
        </is>
      </c>
      <c r="H16" s="14" t="n"/>
    </row>
    <row r="17" ht="30" customHeight="1">
      <c r="A17" s="10" t="n">
        <v>13</v>
      </c>
      <c r="B17" s="11" t="inlineStr">
        <is>
          <t>公式</t>
        </is>
      </c>
      <c r="C17" s="12" t="inlineStr">
        <is>
          <t>2019+ 新函数（IFS/SWITCH/TEXTJOIN/CONCAT/MAXIFS/MINIFS/XLOOKUP）</t>
        </is>
      </c>
      <c r="D17" s="13" t="inlineStr">
        <is>
          <t>公式!C20</t>
        </is>
      </c>
      <c r="E17" s="12" t="inlineStr">
        <is>
          <t>看 E20:E26</t>
        </is>
      </c>
      <c r="F17" s="12" t="inlineStr">
        <is>
          <t>全部 ✓ 一致，没有“函数名无效”错误</t>
        </is>
      </c>
      <c r="G17" s="10" t="inlineStr">
        <is>
          <t>未验证</t>
        </is>
      </c>
      <c r="H17" s="14" t="n"/>
    </row>
    <row r="18" ht="30" customHeight="1">
      <c r="A18" s="10" t="n">
        <v>14</v>
      </c>
      <c r="B18" s="11" t="inlineStr">
        <is>
          <t>公式</t>
        </is>
      </c>
      <c r="C18" s="12" t="inlineStr">
        <is>
          <t>LET / LAMBDA</t>
        </is>
      </c>
      <c r="D18" s="13" t="inlineStr">
        <is>
          <t>公式!C27</t>
        </is>
      </c>
      <c r="E18" s="12" t="inlineStr">
        <is>
          <t>看 E27:E28</t>
        </is>
      </c>
      <c r="F18" s="12" t="inlineStr">
        <is>
          <t>✓ 一致</t>
        </is>
      </c>
      <c r="G18" s="10" t="inlineStr">
        <is>
          <t>未验证</t>
        </is>
      </c>
      <c r="H18" s="14" t="n"/>
    </row>
    <row r="19" ht="30" customHeight="1">
      <c r="A19" s="10" t="n">
        <v>15</v>
      </c>
      <c r="B19" s="11" t="inlineStr">
        <is>
          <t>公式</t>
        </is>
      </c>
      <c r="C19" s="12" t="inlineStr">
        <is>
          <t>动态数组溢出（SEQUENCE / SORT+UNIQUE / FILTER）</t>
        </is>
      </c>
      <c r="D19" s="13" t="inlineStr">
        <is>
          <t>公式!C29</t>
        </is>
      </c>
      <c r="E19" s="12" t="inlineStr">
        <is>
          <t>看 C29:C40</t>
        </is>
      </c>
      <c r="F19" s="12" t="inlineStr">
        <is>
          <t>结果自动向下溢出，和 D 列逐行相同；编辑 C29 时整列一起变化</t>
        </is>
      </c>
      <c r="G19" s="10" t="inlineStr">
        <is>
          <t>未验证</t>
        </is>
      </c>
      <c r="H19" s="14" t="n"/>
    </row>
    <row r="20" ht="30" customHeight="1">
      <c r="A20" s="10" t="n">
        <v>16</v>
      </c>
      <c r="B20" s="11" t="inlineStr">
        <is>
          <t>表格操作</t>
        </is>
      </c>
      <c r="C20" s="12" t="inlineStr">
        <is>
          <t>行高、列宽</t>
        </is>
      </c>
      <c r="D20" s="13" t="inlineStr">
        <is>
          <t>表格操作!A5</t>
        </is>
      </c>
      <c r="E20" s="12" t="inlineStr">
        <is>
          <t>看第 5 行和 B、C 列</t>
        </is>
      </c>
      <c r="F20" s="12" t="inlineStr">
        <is>
          <t>第 5 行更高，B、C 列更宽</t>
        </is>
      </c>
      <c r="G20" s="10" t="inlineStr">
        <is>
          <t>未验证</t>
        </is>
      </c>
      <c r="H20" s="14" t="n"/>
    </row>
    <row r="21" ht="30" customHeight="1">
      <c r="A21" s="10" t="n">
        <v>17</v>
      </c>
      <c r="B21" s="11" t="inlineStr">
        <is>
          <t>表格操作</t>
        </is>
      </c>
      <c r="C21" s="12" t="inlineStr">
        <is>
          <t>隐藏行、隐藏列</t>
        </is>
      </c>
      <c r="D21" s="13" t="inlineStr">
        <is>
          <t>表格操作!A6</t>
        </is>
      </c>
      <c r="E21" s="12" t="inlineStr">
        <is>
          <t>看行号和列标</t>
        </is>
      </c>
      <c r="F21" s="12" t="inlineStr">
        <is>
          <t>第 7 行、D 列被隐藏</t>
        </is>
      </c>
      <c r="G21" s="10" t="inlineStr">
        <is>
          <t>未验证</t>
        </is>
      </c>
      <c r="H21" s="14" t="n"/>
    </row>
    <row r="22" ht="30" customHeight="1">
      <c r="A22" s="10" t="n">
        <v>18</v>
      </c>
      <c r="B22" s="11" t="inlineStr">
        <is>
          <t>表格操作</t>
        </is>
      </c>
      <c r="C22" s="12" t="inlineStr">
        <is>
          <t>冻结窗格</t>
        </is>
      </c>
      <c r="D22" s="13" t="inlineStr">
        <is>
          <t>表格操作!A10</t>
        </is>
      </c>
      <c r="E22" s="12" t="inlineStr">
        <is>
          <t>向下、向右滚动</t>
        </is>
      </c>
      <c r="F22" s="12" t="inlineStr">
        <is>
          <t>前 4 行和 A 列固定</t>
        </is>
      </c>
      <c r="G22" s="10" t="inlineStr">
        <is>
          <t>未验证</t>
        </is>
      </c>
      <c r="H22" s="14" t="n"/>
    </row>
    <row r="23" ht="30" customHeight="1">
      <c r="A23" s="10" t="n">
        <v>19</v>
      </c>
      <c r="B23" s="11" t="inlineStr">
        <is>
          <t>表格操作</t>
        </is>
      </c>
      <c r="C23" s="12" t="inlineStr">
        <is>
          <t>网格线隐藏、缩放比例</t>
        </is>
      </c>
      <c r="D23" s="13" t="inlineStr">
        <is>
          <t>表格操作!A11</t>
        </is>
      </c>
      <c r="E23" s="12" t="inlineStr">
        <is>
          <t>看整张表</t>
        </is>
      </c>
      <c r="F23" s="12" t="inlineStr">
        <is>
          <t>没有网格线，缩放 90%</t>
        </is>
      </c>
      <c r="G23" s="10" t="inlineStr">
        <is>
          <t>未验证</t>
        </is>
      </c>
      <c r="H23" s="14" t="n"/>
    </row>
    <row r="24" ht="30" customHeight="1">
      <c r="A24" s="10" t="n">
        <v>20</v>
      </c>
      <c r="B24" s="11" t="inlineStr">
        <is>
          <t>表格操作</t>
        </is>
      </c>
      <c r="C24" s="12" t="inlineStr">
        <is>
          <t>工作表标签颜色</t>
        </is>
      </c>
      <c r="D24" s="13" t="inlineStr">
        <is>
          <t>表格操作!A1</t>
        </is>
      </c>
      <c r="E24" s="12" t="inlineStr">
        <is>
          <t>看底部工作表标签</t>
        </is>
      </c>
      <c r="F24" s="12" t="inlineStr">
        <is>
          <t>各表标签有不同颜色（本表橙色）</t>
        </is>
      </c>
      <c r="G24" s="10" t="inlineStr">
        <is>
          <t>未验证</t>
        </is>
      </c>
      <c r="H24" s="14" t="n"/>
    </row>
    <row r="25" ht="30" customHeight="1">
      <c r="A25" s="10" t="n">
        <v>21</v>
      </c>
      <c r="B25" s="11" t="inlineStr">
        <is>
          <t>表格操作</t>
        </is>
      </c>
      <c r="C25" s="12" t="inlineStr">
        <is>
          <t>自动填充（手动）</t>
        </is>
      </c>
      <c r="D25" s="13" t="inlineStr">
        <is>
          <t>表格操作!B13</t>
        </is>
      </c>
      <c r="E25" s="12" t="inlineStr">
        <is>
          <t>按 C13、C22 的说明拖动</t>
        </is>
      </c>
      <c r="F25" s="12" t="inlineStr">
        <is>
          <t>生成 1~8 序列、星期序列</t>
        </is>
      </c>
      <c r="G25" s="10" t="inlineStr">
        <is>
          <t>未验证</t>
        </is>
      </c>
      <c r="H25" s="14" t="n"/>
    </row>
    <row r="26" ht="30" customHeight="1">
      <c r="A26" s="10" t="n">
        <v>22</v>
      </c>
      <c r="B26" s="11" t="inlineStr">
        <is>
          <t>表格操作</t>
        </is>
      </c>
      <c r="C26" s="12" t="inlineStr">
        <is>
          <t>格式刷（手动）</t>
        </is>
      </c>
      <c r="D26" s="13" t="inlineStr">
        <is>
          <t>表格操作!B24</t>
        </is>
      </c>
      <c r="E26" s="12" t="inlineStr">
        <is>
          <t>按 C24 的说明操作</t>
        </is>
      </c>
      <c r="F26" s="12" t="inlineStr">
        <is>
          <t>B25 变成红底白字</t>
        </is>
      </c>
      <c r="G26" s="10" t="inlineStr">
        <is>
          <t>未验证</t>
        </is>
      </c>
      <c r="H26" s="14" t="n"/>
    </row>
    <row r="27" ht="30" customHeight="1">
      <c r="A27" s="10" t="n">
        <v>23</v>
      </c>
      <c r="B27" s="11" t="inlineStr">
        <is>
          <t>表格操作</t>
        </is>
      </c>
      <c r="C27" s="12" t="inlineStr">
        <is>
          <t>剪贴板（手动）</t>
        </is>
      </c>
      <c r="D27" s="13" t="inlineStr">
        <is>
          <t>表格操作!B27</t>
        </is>
      </c>
      <c r="E27" s="12" t="inlineStr">
        <is>
          <t>按 C27 的说明操作</t>
        </is>
      </c>
      <c r="F27" s="12" t="inlineStr">
        <is>
          <t>内容和格式一起粘贴</t>
        </is>
      </c>
      <c r="G27" s="10" t="inlineStr">
        <is>
          <t>未验证</t>
        </is>
      </c>
      <c r="H27" s="14" t="n"/>
    </row>
    <row r="28" ht="30" customHeight="1">
      <c r="A28" s="10" t="n">
        <v>24</v>
      </c>
      <c r="B28" s="11" t="inlineStr">
        <is>
          <t>表格操作</t>
        </is>
      </c>
      <c r="C28" s="12" t="inlineStr">
        <is>
          <t>分列（手动）</t>
        </is>
      </c>
      <c r="D28" s="13" t="inlineStr">
        <is>
          <t>表格操作!B30</t>
        </is>
      </c>
      <c r="E28" s="12" t="inlineStr">
        <is>
          <t>按 C30 的说明操作</t>
        </is>
      </c>
      <c r="F28" s="12" t="inlineStr">
        <is>
          <t>拆成姓名、城市、年龄三列</t>
        </is>
      </c>
      <c r="G28" s="10" t="inlineStr">
        <is>
          <t>未验证</t>
        </is>
      </c>
      <c r="H28" s="14" t="n"/>
    </row>
    <row r="29" ht="30" customHeight="1">
      <c r="A29" s="10" t="n">
        <v>25</v>
      </c>
      <c r="B29" s="11" t="inlineStr">
        <is>
          <t>协作相关</t>
        </is>
      </c>
      <c r="C29" s="12" t="inlineStr">
        <is>
          <t>撤销重做（手动）</t>
        </is>
      </c>
      <c r="D29" s="13" t="inlineStr">
        <is>
          <t>表格操作!A34</t>
        </is>
      </c>
      <c r="E29" s="12" t="inlineStr">
        <is>
          <t>Ctrl+Z / Ctrl+Y</t>
        </is>
      </c>
      <c r="F29" s="12" t="inlineStr">
        <is>
          <t>操作能撤销和恢复</t>
        </is>
      </c>
      <c r="G29" s="10" t="inlineStr">
        <is>
          <t>未验证</t>
        </is>
      </c>
      <c r="H29" s="14" t="n"/>
    </row>
    <row r="30" ht="30" customHeight="1">
      <c r="A30" s="10" t="n">
        <v>26</v>
      </c>
      <c r="B30" s="11" t="inlineStr">
        <is>
          <t>数据</t>
        </is>
      </c>
      <c r="C30" s="12" t="inlineStr">
        <is>
          <t>筛选（按值 + 自定义条件）</t>
        </is>
      </c>
      <c r="D30" s="13" t="inlineStr">
        <is>
          <t>排序筛选!B4</t>
        </is>
      </c>
      <c r="E30" s="12" t="inlineStr">
        <is>
          <t>看筛选按钮和显示的行</t>
        </is>
      </c>
      <c r="F30" s="12" t="inlineStr">
        <is>
          <t>表头有筛选按钮；只显示 5 行（华东/华南且销量&gt;100）</t>
        </is>
      </c>
      <c r="G30" s="10" t="inlineStr">
        <is>
          <t>未验证</t>
        </is>
      </c>
      <c r="H30" s="14" t="n"/>
    </row>
    <row r="31" ht="30" customHeight="1">
      <c r="A31" s="10" t="n">
        <v>27</v>
      </c>
      <c r="B31" s="11" t="inlineStr">
        <is>
          <t>数据</t>
        </is>
      </c>
      <c r="C31" s="12" t="inlineStr">
        <is>
          <t>排序（手动）</t>
        </is>
      </c>
      <c r="D31" s="13" t="inlineStr">
        <is>
          <t>排序筛选!D4</t>
        </is>
      </c>
      <c r="E31" s="12" t="inlineStr">
        <is>
          <t>按 F5 的说明操作</t>
        </is>
      </c>
      <c r="F31" s="12" t="inlineStr">
        <is>
          <t>按销量降序排列</t>
        </is>
      </c>
      <c r="G31" s="10" t="inlineStr">
        <is>
          <t>未验证</t>
        </is>
      </c>
      <c r="H31" s="14" t="n"/>
    </row>
    <row r="32" ht="30" customHeight="1">
      <c r="A32" s="10" t="n">
        <v>28</v>
      </c>
      <c r="B32" s="11" t="inlineStr">
        <is>
          <t>数据</t>
        </is>
      </c>
      <c r="C32" s="12" t="inlineStr">
        <is>
          <t>数据验证：下拉（固定选项、引用区域）</t>
        </is>
      </c>
      <c r="D32" s="13" t="inlineStr">
        <is>
          <t>数据验证!B5</t>
        </is>
      </c>
      <c r="E32" s="12" t="inlineStr">
        <is>
          <t>点 B5、B6</t>
        </is>
      </c>
      <c r="F32" s="12" t="inlineStr">
        <is>
          <t>出现下拉箭头和选项；B6 选中时有输入提示</t>
        </is>
      </c>
      <c r="G32" s="10" t="inlineStr">
        <is>
          <t>未验证</t>
        </is>
      </c>
      <c r="H32" s="14" t="n"/>
    </row>
    <row r="33" ht="30" customHeight="1">
      <c r="A33" s="10" t="n">
        <v>29</v>
      </c>
      <c r="B33" s="11" t="inlineStr">
        <is>
          <t>数据</t>
        </is>
      </c>
      <c r="C33" s="12" t="inlineStr">
        <is>
          <t>数据验证：整数 / 小数 / 文本长度 / 日期 / 时间 / 自定义公式</t>
        </is>
      </c>
      <c r="D33" s="13" t="inlineStr">
        <is>
          <t>数据验证!B8</t>
        </is>
      </c>
      <c r="E33" s="12" t="inlineStr">
        <is>
          <t>在 B8:B16 里输入不合法的值</t>
        </is>
      </c>
      <c r="F33" s="12" t="inlineStr">
        <is>
          <t>弹出对应的出错提示（停止 / 警告 / 信息）</t>
        </is>
      </c>
      <c r="G33" s="10" t="inlineStr">
        <is>
          <t>未验证</t>
        </is>
      </c>
      <c r="H33" s="14" t="n"/>
    </row>
    <row r="34" ht="30" customHeight="1">
      <c r="A34" s="10" t="n">
        <v>30</v>
      </c>
      <c r="B34" s="11" t="inlineStr">
        <is>
          <t>数据</t>
        </is>
      </c>
      <c r="C34" s="12" t="inlineStr">
        <is>
          <t>数据验证：已有无效值标记</t>
        </is>
      </c>
      <c r="D34" s="13" t="inlineStr">
        <is>
          <t>数据验证!B7</t>
        </is>
      </c>
      <c r="E34" s="12" t="inlineStr">
        <is>
          <t>看 B7、B9、B12、B14、B17</t>
        </is>
      </c>
      <c r="F34" s="12" t="inlineStr">
        <is>
          <t>这 5 格有无效标记（红角 / 红圈）</t>
        </is>
      </c>
      <c r="G34" s="10" t="inlineStr">
        <is>
          <t>未验证</t>
        </is>
      </c>
      <c r="H34" s="14" t="n"/>
    </row>
    <row r="35" ht="30" customHeight="1">
      <c r="A35" s="10" t="n">
        <v>31</v>
      </c>
      <c r="B35" s="11" t="inlineStr">
        <is>
          <t>数据</t>
        </is>
      </c>
      <c r="C35" s="12" t="inlineStr">
        <is>
          <t>条件格式：数值规则（大于 / 介于 / 等于）</t>
        </is>
      </c>
      <c r="D35" s="13" t="inlineStr">
        <is>
          <t>条件格式!A4</t>
        </is>
      </c>
      <c r="E35" s="12" t="inlineStr">
        <is>
          <t>看 A~C 列</t>
        </is>
      </c>
      <c r="F35" s="12" t="inlineStr">
        <is>
          <t>符合条件的格子变色</t>
        </is>
      </c>
      <c r="G35" s="10" t="inlineStr">
        <is>
          <t>未验证</t>
        </is>
      </c>
      <c r="H35" s="14" t="n"/>
    </row>
    <row r="36" ht="30" customHeight="1">
      <c r="A36" s="10" t="n">
        <v>32</v>
      </c>
      <c r="B36" s="11" t="inlineStr">
        <is>
          <t>数据</t>
        </is>
      </c>
      <c r="C36" s="12" t="inlineStr">
        <is>
          <t>条件格式：文本规则（包含 / 开头 / 结尾）</t>
        </is>
      </c>
      <c r="D36" s="13" t="inlineStr">
        <is>
          <t>条件格式!D4</t>
        </is>
      </c>
      <c r="E36" s="12" t="inlineStr">
        <is>
          <t>看 D~F 列</t>
        </is>
      </c>
      <c r="F36" s="12" t="inlineStr">
        <is>
          <t>符合条件的格子变色</t>
        </is>
      </c>
      <c r="G36" s="10" t="inlineStr">
        <is>
          <t>未验证</t>
        </is>
      </c>
      <c r="H36" s="14" t="n"/>
    </row>
    <row r="37" ht="30" customHeight="1">
      <c r="A37" s="10" t="n">
        <v>33</v>
      </c>
      <c r="B37" s="11" t="inlineStr">
        <is>
          <t>数据</t>
        </is>
      </c>
      <c r="C37" s="12" t="inlineStr">
        <is>
          <t>条件格式：日期（最近 7 天）</t>
        </is>
      </c>
      <c r="D37" s="13" t="inlineStr">
        <is>
          <t>条件格式!G4</t>
        </is>
      </c>
      <c r="E37" s="12" t="inlineStr">
        <is>
          <t>看 G 列</t>
        </is>
      </c>
      <c r="F37" s="12" t="inlineStr">
        <is>
          <t>最近 7 天内的日期变绿</t>
        </is>
      </c>
      <c r="G37" s="10" t="inlineStr">
        <is>
          <t>未验证</t>
        </is>
      </c>
      <c r="H37" s="14" t="n"/>
    </row>
    <row r="38" ht="30" customHeight="1">
      <c r="A38" s="10" t="n">
        <v>34</v>
      </c>
      <c r="B38" s="11" t="inlineStr">
        <is>
          <t>数据</t>
        </is>
      </c>
      <c r="C38" s="12" t="inlineStr">
        <is>
          <t>条件格式：前 N / 后 N% / 高于低于平均</t>
        </is>
      </c>
      <c r="D38" s="13" t="inlineStr">
        <is>
          <t>条件格式!H4</t>
        </is>
      </c>
      <c r="E38" s="12" t="inlineStr">
        <is>
          <t>看 H~K 列</t>
        </is>
      </c>
      <c r="F38" s="12" t="inlineStr">
        <is>
          <t>H 列 91、88、76 标红；I 列 7、15 标黄；J、K 按平均值 49.9 区分</t>
        </is>
      </c>
      <c r="G38" s="10" t="inlineStr">
        <is>
          <t>未验证</t>
        </is>
      </c>
      <c r="H38" s="14" t="n"/>
    </row>
    <row r="39" ht="30" customHeight="1">
      <c r="A39" s="10" t="n">
        <v>35</v>
      </c>
      <c r="B39" s="11" t="inlineStr">
        <is>
          <t>数据</t>
        </is>
      </c>
      <c r="C39" s="12" t="inlineStr">
        <is>
          <t>条件格式：重复值 / 唯一值</t>
        </is>
      </c>
      <c r="D39" s="13" t="inlineStr">
        <is>
          <t>条件格式!L4</t>
        </is>
      </c>
      <c r="E39" s="12" t="inlineStr">
        <is>
          <t>看 L、M 列</t>
        </is>
      </c>
      <c r="F39" s="12" t="inlineStr">
        <is>
          <t>L 列张三、李四变黄；M 列其余姓名变绿</t>
        </is>
      </c>
      <c r="G39" s="10" t="inlineStr">
        <is>
          <t>未验证</t>
        </is>
      </c>
      <c r="H39" s="14" t="n"/>
    </row>
    <row r="40" ht="30" customHeight="1">
      <c r="A40" s="10" t="n">
        <v>36</v>
      </c>
      <c r="B40" s="11" t="inlineStr">
        <is>
          <t>数据</t>
        </is>
      </c>
      <c r="C40" s="12" t="inlineStr">
        <is>
          <t>条件格式：公式规则</t>
        </is>
      </c>
      <c r="D40" s="13" t="inlineStr">
        <is>
          <t>条件格式!N4</t>
        </is>
      </c>
      <c r="E40" s="12" t="inlineStr">
        <is>
          <t>看 N 列</t>
        </is>
      </c>
      <c r="F40" s="12" t="inlineStr">
        <is>
          <t>偶数变红（42、88、28、34、76）</t>
        </is>
      </c>
      <c r="G40" s="10" t="inlineStr">
        <is>
          <t>未验证</t>
        </is>
      </c>
      <c r="H40" s="14" t="n"/>
    </row>
    <row r="41" ht="30" customHeight="1">
      <c r="A41" s="10" t="n">
        <v>37</v>
      </c>
      <c r="B41" s="11" t="inlineStr">
        <is>
          <t>数据</t>
        </is>
      </c>
      <c r="C41" s="12" t="inlineStr">
        <is>
          <t>条件格式：色阶、数据条、图标集</t>
        </is>
      </c>
      <c r="D41" s="13" t="inlineStr">
        <is>
          <t>条件格式!O4</t>
        </is>
      </c>
      <c r="E41" s="12" t="inlineStr">
        <is>
          <t>看 O~U 列</t>
        </is>
      </c>
      <c r="F41" s="12" t="inlineStr">
        <is>
          <t>有渐变底色、数据条和图标；U 列只显示图标</t>
        </is>
      </c>
      <c r="G41" s="10" t="inlineStr">
        <is>
          <t>未验证</t>
        </is>
      </c>
      <c r="H41" s="14" t="n"/>
    </row>
    <row r="42" ht="30" customHeight="1">
      <c r="A42" s="10" t="n">
        <v>38</v>
      </c>
      <c r="B42" s="11" t="inlineStr">
        <is>
          <t>数据</t>
        </is>
      </c>
      <c r="C42" s="12" t="inlineStr">
        <is>
          <t>超级表</t>
        </is>
      </c>
      <c r="D42" s="13" t="inlineStr">
        <is>
          <t>超级表!A4</t>
        </is>
      </c>
      <c r="E42" s="12" t="inlineStr">
        <is>
          <t>看 A4:E10</t>
        </is>
      </c>
      <c r="F42" s="12" t="inlineStr">
        <is>
          <t>识别为表格“员工表”：有表头、筛选按钮、样式；H4 = H5</t>
        </is>
      </c>
      <c r="G42" s="10" t="inlineStr">
        <is>
          <t>未验证</t>
        </is>
      </c>
      <c r="H42" s="14" t="n"/>
    </row>
    <row r="43" ht="30" customHeight="1">
      <c r="A43" s="10" t="n">
        <v>39</v>
      </c>
      <c r="B43" s="11" t="inlineStr">
        <is>
          <t>协作相关</t>
        </is>
      </c>
      <c r="C43" s="12" t="inlineStr">
        <is>
          <t>批注（note）</t>
        </is>
      </c>
      <c r="D43" s="13" t="inlineStr">
        <is>
          <t>批注评论!A5</t>
        </is>
      </c>
      <c r="E43" s="12" t="inlineStr">
        <is>
          <t>鼠标悬停 A5、A6</t>
        </is>
      </c>
      <c r="F43" s="12" t="inlineStr">
        <is>
          <t>显示批注内容，A6 为三行</t>
        </is>
      </c>
      <c r="G43" s="10" t="inlineStr">
        <is>
          <t>未验证</t>
        </is>
      </c>
      <c r="H43" s="14" t="n"/>
    </row>
    <row r="44" ht="30" customHeight="1">
      <c r="A44" s="10" t="n">
        <v>40</v>
      </c>
      <c r="B44" s="11" t="inlineStr">
        <is>
          <t>协作相关</t>
        </is>
      </c>
      <c r="C44" s="12" t="inlineStr">
        <is>
          <t>评论（含回复、已解决）</t>
        </is>
      </c>
      <c r="D44" s="13" t="inlineStr">
        <is>
          <t>批注评论!A8</t>
        </is>
      </c>
      <c r="E44" s="12" t="inlineStr">
        <is>
          <t>点 A8、A9 的评论标记</t>
        </is>
      </c>
      <c r="F44" s="12" t="inlineStr">
        <is>
          <t>A8 显示评论和回复及作者；A9 的评论已解决</t>
        </is>
      </c>
      <c r="G44" s="10" t="inlineStr">
        <is>
          <t>未验证</t>
        </is>
      </c>
      <c r="H44" s="14" t="n"/>
    </row>
    <row r="45" ht="30" customHeight="1">
      <c r="A45" s="10" t="n">
        <v>41</v>
      </c>
      <c r="B45" s="11" t="inlineStr">
        <is>
          <t>协作相关</t>
        </is>
      </c>
      <c r="C45" s="12" t="inlineStr">
        <is>
          <t>区域保护（保护工作表 + 部分单元格未锁定）</t>
        </is>
      </c>
      <c r="D45" s="13" t="inlineStr">
        <is>
          <t>保护-部分!B5</t>
        </is>
      </c>
      <c r="E45" s="12" t="inlineStr">
        <is>
          <t>修改 B5:B8，再试着改 A5 或 B10</t>
        </is>
      </c>
      <c r="F45" s="12" t="inlineStr">
        <is>
          <t>B5:B8 可以改；其他单元格被保护不能改</t>
        </is>
      </c>
      <c r="G45" s="10" t="inlineStr">
        <is>
          <t>未验证</t>
        </is>
      </c>
      <c r="H45" s="14" t="n"/>
    </row>
    <row r="46" ht="30" customHeight="1">
      <c r="A46" s="10" t="n">
        <v>42</v>
      </c>
      <c r="B46" s="11" t="inlineStr">
        <is>
          <t>协作相关</t>
        </is>
      </c>
      <c r="C46" s="12" t="inlineStr">
        <is>
          <t>工作表保护（整表）</t>
        </is>
      </c>
      <c r="D46" s="13" t="inlineStr">
        <is>
          <t>保护-整表!A4</t>
        </is>
      </c>
      <c r="E46" s="12" t="inlineStr">
        <is>
          <t>修改任意单元格</t>
        </is>
      </c>
      <c r="F46" s="12" t="inlineStr">
        <is>
          <t>被阻止；工作表标签上有锁图标</t>
        </is>
      </c>
      <c r="G46" s="10" t="inlineStr">
        <is>
          <t>未验证</t>
        </is>
      </c>
      <c r="H46" s="14" t="n"/>
    </row>
    <row r="47" ht="30" customHeight="1">
      <c r="A47" s="10" t="n">
        <v>43</v>
      </c>
      <c r="B47" s="11" t="inlineStr">
        <is>
          <t>其他</t>
        </is>
      </c>
      <c r="C47" s="12" t="inlineStr">
        <is>
          <t>超链接（外部网址、内部跳转、邮件）</t>
        </is>
      </c>
      <c r="D47" s="13" t="inlineStr">
        <is>
          <t>链接图片!A4</t>
        </is>
      </c>
      <c r="E47" s="12" t="inlineStr">
        <is>
          <t>点 A4:A7</t>
        </is>
      </c>
      <c r="F47" s="12" t="inlineStr">
        <is>
          <t>A4 打开网页，A5/A6 跳到对应工作表单元格，A7 是邮件链接</t>
        </is>
      </c>
      <c r="G47" s="10" t="inlineStr">
        <is>
          <t>未验证</t>
        </is>
      </c>
      <c r="H47" s="14" t="n"/>
    </row>
    <row r="48" ht="30" customHeight="1">
      <c r="A48" s="10" t="n">
        <v>44</v>
      </c>
      <c r="B48" s="11" t="inlineStr">
        <is>
          <t>其他</t>
        </is>
      </c>
      <c r="C48" s="12" t="inlineStr">
        <is>
          <t>浮动图片（PNG、JPEG）</t>
        </is>
      </c>
      <c r="D48" s="13" t="inlineStr">
        <is>
          <t>链接图片!D4</t>
        </is>
      </c>
      <c r="E48" s="12" t="inlineStr">
        <is>
          <t>看 D4 和 D14 附近</t>
        </is>
      </c>
      <c r="F48" s="12" t="inlineStr">
        <is>
          <t>两张图片位置和大小正确，可以拖动缩放</t>
        </is>
      </c>
      <c r="G48" s="10" t="inlineStr">
        <is>
          <t>未验证</t>
        </is>
      </c>
      <c r="H48" s="14" t="n"/>
    </row>
    <row r="49" ht="30" customHeight="1">
      <c r="A49" s="10" t="n">
        <v>45</v>
      </c>
      <c r="B49" s="11" t="inlineStr">
        <is>
          <t>表格操作</t>
        </is>
      </c>
      <c r="C49" s="12" t="inlineStr">
        <is>
          <t>隐藏工作表</t>
        </is>
      </c>
      <c r="D49" s="13" t="inlineStr">
        <is>
          <t>验证清单!A1</t>
        </is>
      </c>
      <c r="E49" s="12" t="inlineStr">
        <is>
          <t>右键工作表标签 → 取消隐藏</t>
        </is>
      </c>
      <c r="F49" s="12" t="inlineStr">
        <is>
          <t>有一张名为“隐藏工作表”的隐藏表</t>
        </is>
      </c>
      <c r="G49" s="10" t="inlineStr">
        <is>
          <t>未验证</t>
        </is>
      </c>
      <c r="H49" s="14" t="n"/>
    </row>
    <row r="50" ht="30" customHeight="1">
      <c r="A50" s="10" t="n">
        <v>46</v>
      </c>
      <c r="B50" s="11" t="inlineStr">
        <is>
          <t>其他</t>
        </is>
      </c>
      <c r="C50" s="12" t="inlineStr">
        <is>
          <t>查找替换（手动）</t>
        </is>
      </c>
      <c r="D50" s="13" t="inlineStr">
        <is>
          <t>公式!H5</t>
        </is>
      </c>
      <c r="E50" s="12" t="inlineStr">
        <is>
          <t>Ctrl+F 查找“苹果”，再试替换</t>
        </is>
      </c>
      <c r="F50" s="12" t="inlineStr">
        <is>
          <t>找到 H5、H9 两处</t>
        </is>
      </c>
      <c r="G50" s="10" t="inlineStr">
        <is>
          <t>未验证</t>
        </is>
      </c>
      <c r="H50" s="14" t="n"/>
    </row>
    <row r="51" ht="30" customHeight="1">
      <c r="A51" s="10" t="n">
        <v>47</v>
      </c>
      <c r="B51" s="11" t="inlineStr">
        <is>
          <t>其他</t>
        </is>
      </c>
      <c r="C51" s="12" t="inlineStr">
        <is>
          <t>水印（手动）</t>
        </is>
      </c>
      <c r="D51" s="13" t="inlineStr">
        <is>
          <t>验证清单!A1</t>
        </is>
      </c>
      <c r="E51" s="12" t="inlineStr">
        <is>
          <t>视图 → 水印</t>
        </is>
      </c>
      <c r="F51" s="12" t="inlineStr">
        <is>
          <t>表格上出现文字水印（Excel 没有水印，文件里不包含）</t>
        </is>
      </c>
      <c r="G51" s="10" t="inlineStr">
        <is>
          <t>未验证</t>
        </is>
      </c>
      <c r="H51" s="14" t="n"/>
    </row>
    <row r="52" ht="30" customHeight="1">
      <c r="A52" s="10" t="n">
        <v>48</v>
      </c>
      <c r="B52" s="11" t="inlineStr">
        <is>
          <t>其他</t>
        </is>
      </c>
      <c r="C52" s="12" t="inlineStr">
        <is>
          <t>单元格内图片（手动）</t>
        </is>
      </c>
      <c r="D52" s="13" t="inlineStr">
        <is>
          <t>链接图片!D25</t>
        </is>
      </c>
      <c r="E52" s="12" t="inlineStr">
        <is>
          <t>插入 → 图片 → 单元格图片，插到 D25</t>
        </is>
      </c>
      <c r="F52" s="12" t="inlineStr">
        <is>
          <t>图片嵌在单元格里（本文件不含，需手动验证）</t>
        </is>
      </c>
      <c r="G52" s="10" t="inlineStr">
        <is>
          <t>未验证</t>
        </is>
      </c>
      <c r="H52" s="14" t="n"/>
    </row>
  </sheetData>
  <autoFilter ref="A4:H52"/>
  <conditionalFormatting sqref="G5:G52">
    <cfRule type="containsText" priority="1" operator="containsText" dxfId="0" text="不通过">
      <formula>NOT(ISERROR(SEARCH("不通过",G5)))</formula>
    </cfRule>
    <cfRule type="cellIs" priority="2" operator="equal" dxfId="1">
      <formula>"通过"</formula>
    </cfRule>
  </conditionalFormatting>
  <dataValidations count="1">
    <dataValidation sqref="G5:G52" showDropDown="0" showInputMessage="1" showErrorMessage="0" allowBlank="1" promptTitle="验证结果" prompt="选择 通过 / 不通过" type="list">
      <formula1>"通过,不通过,未验证"</formula1>
    </dataValidation>
  </dataValidation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D21" r:id="rId17"/>
    <hyperlink xmlns:r="http://schemas.openxmlformats.org/officeDocument/2006/relationships" ref="D22" r:id="rId18"/>
    <hyperlink xmlns:r="http://schemas.openxmlformats.org/officeDocument/2006/relationships" ref="D23" r:id="rId19"/>
    <hyperlink xmlns:r="http://schemas.openxmlformats.org/officeDocument/2006/relationships" ref="D24" r:id="rId20"/>
    <hyperlink xmlns:r="http://schemas.openxmlformats.org/officeDocument/2006/relationships" ref="D25" r:id="rId21"/>
    <hyperlink xmlns:r="http://schemas.openxmlformats.org/officeDocument/2006/relationships" ref="D26" r:id="rId22"/>
    <hyperlink xmlns:r="http://schemas.openxmlformats.org/officeDocument/2006/relationships" ref="D27" r:id="rId23"/>
    <hyperlink xmlns:r="http://schemas.openxmlformats.org/officeDocument/2006/relationships" ref="D28" r:id="rId24"/>
    <hyperlink xmlns:r="http://schemas.openxmlformats.org/officeDocument/2006/relationships" ref="D29" r:id="rId25"/>
    <hyperlink xmlns:r="http://schemas.openxmlformats.org/officeDocument/2006/relationships" ref="D30" r:id="rId26"/>
    <hyperlink xmlns:r="http://schemas.openxmlformats.org/officeDocument/2006/relationships" ref="D31" r:id="rId27"/>
    <hyperlink xmlns:r="http://schemas.openxmlformats.org/officeDocument/2006/relationships" ref="D32" r:id="rId28"/>
    <hyperlink xmlns:r="http://schemas.openxmlformats.org/officeDocument/2006/relationships" ref="D33" r:id="rId29"/>
    <hyperlink xmlns:r="http://schemas.openxmlformats.org/officeDocument/2006/relationships" ref="D34" r:id="rId30"/>
    <hyperlink xmlns:r="http://schemas.openxmlformats.org/officeDocument/2006/relationships" ref="D35" r:id="rId31"/>
    <hyperlink xmlns:r="http://schemas.openxmlformats.org/officeDocument/2006/relationships" ref="D36" r:id="rId32"/>
    <hyperlink xmlns:r="http://schemas.openxmlformats.org/officeDocument/2006/relationships" ref="D37" r:id="rId33"/>
    <hyperlink xmlns:r="http://schemas.openxmlformats.org/officeDocument/2006/relationships" ref="D38" r:id="rId34"/>
    <hyperlink xmlns:r="http://schemas.openxmlformats.org/officeDocument/2006/relationships" ref="D39" r:id="rId35"/>
    <hyperlink xmlns:r="http://schemas.openxmlformats.org/officeDocument/2006/relationships" ref="D40" r:id="rId36"/>
    <hyperlink xmlns:r="http://schemas.openxmlformats.org/officeDocument/2006/relationships" ref="D41" r:id="rId37"/>
    <hyperlink xmlns:r="http://schemas.openxmlformats.org/officeDocument/2006/relationships" ref="D42" r:id="rId38"/>
    <hyperlink xmlns:r="http://schemas.openxmlformats.org/officeDocument/2006/relationships" ref="D43" r:id="rId39"/>
    <hyperlink xmlns:r="http://schemas.openxmlformats.org/officeDocument/2006/relationships" ref="D44" r:id="rId40"/>
    <hyperlink xmlns:r="http://schemas.openxmlformats.org/officeDocument/2006/relationships" ref="D45" r:id="rId41"/>
    <hyperlink xmlns:r="http://schemas.openxmlformats.org/officeDocument/2006/relationships" ref="D46" r:id="rId42"/>
    <hyperlink xmlns:r="http://schemas.openxmlformats.org/officeDocument/2006/relationships" ref="D47" r:id="rId43"/>
    <hyperlink xmlns:r="http://schemas.openxmlformats.org/officeDocument/2006/relationships" ref="D48" r:id="rId44"/>
    <hyperlink xmlns:r="http://schemas.openxmlformats.org/officeDocument/2006/relationships" ref="D49" r:id="rId45"/>
    <hyperlink xmlns:r="http://schemas.openxmlformats.org/officeDocument/2006/relationships" ref="D50" r:id="rId46"/>
    <hyperlink xmlns:r="http://schemas.openxmlformats.org/officeDocument/2006/relationships" ref="D51" r:id="rId47"/>
    <hyperlink xmlns:r="http://schemas.openxmlformats.org/officeDocument/2006/relationships" ref="D52" r:id="rId4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cols>
    <col width="26" customWidth="1" min="1" max="1"/>
    <col width="36" customWidth="1" min="2" max="2"/>
    <col width="44" customWidth="1" min="3" max="3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单元格与样式</t>
        </is>
      </c>
    </row>
    <row r="2">
      <c r="A2" s="5" t="inlineStr">
        <is>
          <t>每行左边是说明，右边是被测单元格；对照“预期”列看显示效果</t>
        </is>
      </c>
    </row>
    <row r="4">
      <c r="A4" s="9" t="inlineStr">
        <is>
          <t>说明</t>
        </is>
      </c>
      <c r="B4" s="9" t="inlineStr">
        <is>
          <t>被测单元格</t>
        </is>
      </c>
      <c r="C4" s="9" t="inlineStr">
        <is>
          <t>预期</t>
        </is>
      </c>
      <c r="E4" s="15" t="inlineStr">
        <is>
          <t>合并单元格</t>
        </is>
      </c>
    </row>
    <row r="5">
      <c r="A5" s="16" t="inlineStr">
        <is>
          <t>文本</t>
        </is>
      </c>
      <c r="B5" s="16" t="inlineStr">
        <is>
          <t>你好 Univer</t>
        </is>
      </c>
      <c r="C5" s="5" t="inlineStr">
        <is>
          <t>左对齐的文字</t>
        </is>
      </c>
      <c r="E5" s="17" t="inlineStr">
        <is>
          <t>横向合并 E5:G5</t>
        </is>
      </c>
    </row>
    <row r="6">
      <c r="A6" s="16" t="inlineStr">
        <is>
          <t>整数</t>
        </is>
      </c>
      <c r="B6" s="16" t="n">
        <v>12345</v>
      </c>
      <c r="C6" s="5" t="inlineStr">
        <is>
          <t>右对齐 12345</t>
        </is>
      </c>
    </row>
    <row r="7">
      <c r="A7" s="16" t="inlineStr">
        <is>
          <t>负小数</t>
        </is>
      </c>
      <c r="B7" s="16" t="n">
        <v>-3.14159</v>
      </c>
      <c r="C7" s="5" t="inlineStr">
        <is>
          <t>右对齐 -3.14159</t>
        </is>
      </c>
      <c r="E7" s="18" t="inlineStr">
        <is>
          <t>纵向合并</t>
        </is>
      </c>
      <c r="F7" s="19" t="inlineStr">
        <is>
          <t>区域合并 F7:H10</t>
        </is>
      </c>
    </row>
    <row r="8">
      <c r="A8" s="16" t="inlineStr">
        <is>
          <t>布尔值 TRUE</t>
        </is>
      </c>
      <c r="B8" s="16" t="b">
        <v>1</v>
      </c>
      <c r="C8" s="5" t="inlineStr">
        <is>
          <t>居中显示 TRUE</t>
        </is>
      </c>
    </row>
    <row r="9">
      <c r="A9" s="16" t="inlineStr">
        <is>
          <t>布尔值 FALSE</t>
        </is>
      </c>
      <c r="B9" s="16" t="b">
        <v>0</v>
      </c>
      <c r="C9" s="5" t="inlineStr">
        <is>
          <t>居中显示 FALSE</t>
        </is>
      </c>
    </row>
    <row r="10">
      <c r="A10" s="16" t="inlineStr">
        <is>
          <t>日期</t>
        </is>
      </c>
      <c r="B10" s="20" t="n">
        <v>46294</v>
      </c>
      <c r="C10" s="5" t="inlineStr">
        <is>
          <t>2026-09-29</t>
        </is>
      </c>
    </row>
    <row r="11">
      <c r="A11" s="16" t="inlineStr">
        <is>
          <t>时间</t>
        </is>
      </c>
      <c r="B11" s="21" t="n">
        <v>0.5732638888888889</v>
      </c>
      <c r="C11" s="5" t="inlineStr">
        <is>
          <t>13:45:30</t>
        </is>
      </c>
    </row>
    <row r="12">
      <c r="A12" s="16" t="inlineStr">
        <is>
          <t>日期时间</t>
        </is>
      </c>
      <c r="B12" s="22" t="n">
        <v>46294.57291666666</v>
      </c>
      <c r="C12" s="5" t="inlineStr">
        <is>
          <t>2026-09-29 13:45</t>
        </is>
      </c>
    </row>
    <row r="13">
      <c r="A13" s="16" t="inlineStr">
        <is>
          <t>以文本存储的数字</t>
        </is>
      </c>
      <c r="B13" s="23" t="inlineStr">
        <is>
          <t>00123</t>
        </is>
      </c>
      <c r="C13" s="5" t="inlineStr">
        <is>
          <t>显示 00123（前导零保留）</t>
        </is>
      </c>
    </row>
    <row r="14" ht="22" customHeight="1">
      <c r="A14" s="16" t="inlineStr">
        <is>
          <t>富文本（一个单元格多种格式）</t>
        </is>
      </c>
      <c r="B14" s="16" t="inlineStr">
        <is>
          <r>
            <rPr>
              <rFont val="Arial"/>
              <b val="1"/>
              <color rgb="FFC00000"/>
              <sz val="10"/>
            </rPr>
            <t>红色加粗</t>
          </r>
          <r>
            <t>、</t>
          </r>
          <r>
            <rPr>
              <rFont val="Arial"/>
              <i val="1"/>
              <color rgb="FF0070C0"/>
              <sz val="10"/>
            </rPr>
            <t>蓝色斜体</t>
          </r>
          <r>
            <t>、</t>
          </r>
          <r>
            <rPr>
              <rFont val="Arial"/>
              <sz val="14"/>
              <u val="single"/>
            </rPr>
            <t>大号下划线</t>
          </r>
        </is>
      </c>
      <c r="C14" s="5" t="inlineStr">
        <is>
          <t>三段文字分别是红色加粗、蓝色斜体、14 号下划线</t>
        </is>
      </c>
    </row>
    <row r="16">
      <c r="A16" s="16" t="inlineStr">
        <is>
          <t>字体：Arial</t>
        </is>
      </c>
      <c r="B16" s="16" t="inlineStr">
        <is>
          <t>字体 Arial</t>
        </is>
      </c>
      <c r="C16" s="5" t="inlineStr">
        <is>
          <t>Arial 字体</t>
        </is>
      </c>
    </row>
    <row r="17">
      <c r="A17" s="16" t="inlineStr">
        <is>
          <t>字体：Times New Roman</t>
        </is>
      </c>
      <c r="B17" s="24" t="inlineStr">
        <is>
          <t>Times New Roman</t>
        </is>
      </c>
      <c r="C17" s="5" t="inlineStr">
        <is>
          <t>衬线字体</t>
        </is>
      </c>
    </row>
    <row r="18" ht="18" customHeight="1">
      <c r="A18" s="16" t="inlineStr">
        <is>
          <t>字体：微软雅黑</t>
        </is>
      </c>
      <c r="B18" s="25" t="inlineStr">
        <is>
          <t>字体 微软雅黑</t>
        </is>
      </c>
      <c r="C18" s="5" t="inlineStr">
        <is>
          <t>微软雅黑（没装会回退）</t>
        </is>
      </c>
    </row>
    <row r="19" ht="28" customHeight="1">
      <c r="A19" s="16" t="inlineStr">
        <is>
          <t>字号 18</t>
        </is>
      </c>
      <c r="B19" s="26" t="inlineStr">
        <is>
          <t>字号 18</t>
        </is>
      </c>
      <c r="C19" s="5" t="inlineStr">
        <is>
          <t>明显更大</t>
        </is>
      </c>
    </row>
    <row r="20">
      <c r="A20" s="16" t="inlineStr">
        <is>
          <t>粗体</t>
        </is>
      </c>
      <c r="B20" s="15" t="inlineStr">
        <is>
          <t>粗体</t>
        </is>
      </c>
      <c r="C20" s="5" t="inlineStr">
        <is>
          <t>加粗</t>
        </is>
      </c>
    </row>
    <row r="21">
      <c r="A21" s="16" t="inlineStr">
        <is>
          <t>斜体</t>
        </is>
      </c>
      <c r="B21" s="27" t="inlineStr">
        <is>
          <t>斜体</t>
        </is>
      </c>
      <c r="C21" s="5" t="inlineStr">
        <is>
          <t>倾斜</t>
        </is>
      </c>
    </row>
    <row r="22">
      <c r="A22" s="16" t="inlineStr">
        <is>
          <t>下划线</t>
        </is>
      </c>
      <c r="B22" s="28" t="inlineStr">
        <is>
          <t>下划线</t>
        </is>
      </c>
      <c r="C22" s="5" t="inlineStr">
        <is>
          <t>带下划线</t>
        </is>
      </c>
    </row>
    <row r="23">
      <c r="A23" s="16" t="inlineStr">
        <is>
          <t>删除线</t>
        </is>
      </c>
      <c r="B23" s="29" t="inlineStr">
        <is>
          <t>删除线</t>
        </is>
      </c>
      <c r="C23" s="5" t="inlineStr">
        <is>
          <t>带删除线</t>
        </is>
      </c>
    </row>
    <row r="24">
      <c r="A24" s="16" t="inlineStr">
        <is>
          <t>字体颜色</t>
        </is>
      </c>
      <c r="B24" s="30" t="inlineStr">
        <is>
          <t>红色文字</t>
        </is>
      </c>
      <c r="C24" s="5" t="inlineStr">
        <is>
          <t>文字为红色 #C00000</t>
        </is>
      </c>
    </row>
    <row r="25">
      <c r="A25" s="16" t="inlineStr">
        <is>
          <t>上标 / 下标</t>
        </is>
      </c>
      <c r="B25" s="31" t="inlineStr">
        <is>
          <t>x²（上标）</t>
        </is>
      </c>
      <c r="C25" s="5" t="inlineStr">
        <is>
          <t>整体显示为上标位置</t>
        </is>
      </c>
    </row>
    <row r="27">
      <c r="A27" s="16" t="inlineStr">
        <is>
          <t>纯色填充</t>
        </is>
      </c>
      <c r="B27" s="32" t="inlineStr">
        <is>
          <t>浅黄底</t>
        </is>
      </c>
      <c r="C27" s="5" t="inlineStr">
        <is>
          <t>背景 #FFF2CC</t>
        </is>
      </c>
    </row>
    <row r="28">
      <c r="A28" s="16" t="inlineStr">
        <is>
          <t>主题色填充（带色调）</t>
        </is>
      </c>
      <c r="B28" s="33" t="inlineStr">
        <is>
          <t>主题色 1 深 25%</t>
        </is>
      </c>
      <c r="C28" s="5" t="inlineStr">
        <is>
          <t>深蓝底色（主题色 accent1 加深 25%）</t>
        </is>
      </c>
    </row>
    <row r="29">
      <c r="A29" s="16" t="inlineStr">
        <is>
          <t>主题色文字</t>
        </is>
      </c>
      <c r="B29" s="34" t="inlineStr">
        <is>
          <t>主题色 accent2</t>
        </is>
      </c>
      <c r="C29" s="5" t="inlineStr">
        <is>
          <t>橙色文字（主题色 accent2）</t>
        </is>
      </c>
    </row>
    <row r="31">
      <c r="A31" s="16" t="inlineStr">
        <is>
          <t>细边框</t>
        </is>
      </c>
      <c r="B31" s="35" t="inlineStr">
        <is>
          <t>细边框</t>
        </is>
      </c>
      <c r="C31" s="5" t="inlineStr">
        <is>
          <t>四周是细边框</t>
        </is>
      </c>
    </row>
    <row r="32">
      <c r="A32" s="16" t="inlineStr">
        <is>
          <t>中等边框</t>
        </is>
      </c>
      <c r="B32" s="36" t="inlineStr">
        <is>
          <t>中等边框</t>
        </is>
      </c>
      <c r="C32" s="5" t="inlineStr">
        <is>
          <t>四周是中等边框</t>
        </is>
      </c>
    </row>
    <row r="33">
      <c r="A33" s="16" t="inlineStr">
        <is>
          <t>粗边框</t>
        </is>
      </c>
      <c r="B33" s="37" t="inlineStr">
        <is>
          <t>粗边框</t>
        </is>
      </c>
      <c r="C33" s="5" t="inlineStr">
        <is>
          <t>四周是粗边框</t>
        </is>
      </c>
    </row>
    <row r="34">
      <c r="A34" s="16" t="inlineStr">
        <is>
          <t>虚线边框</t>
        </is>
      </c>
      <c r="B34" s="38" t="inlineStr">
        <is>
          <t>虚线边框</t>
        </is>
      </c>
      <c r="C34" s="5" t="inlineStr">
        <is>
          <t>四周是虚线边框</t>
        </is>
      </c>
    </row>
    <row r="35">
      <c r="A35" s="16" t="inlineStr">
        <is>
          <t>点线边框</t>
        </is>
      </c>
      <c r="B35" s="39" t="inlineStr">
        <is>
          <t>点线边框</t>
        </is>
      </c>
      <c r="C35" s="5" t="inlineStr">
        <is>
          <t>四周是点线边框</t>
        </is>
      </c>
    </row>
    <row r="36">
      <c r="A36" s="16" t="inlineStr">
        <is>
          <t>双线边框</t>
        </is>
      </c>
      <c r="B36" s="40" t="inlineStr">
        <is>
          <t>双线边框</t>
        </is>
      </c>
      <c r="C36" s="5" t="inlineStr">
        <is>
          <t>四周是双线边框</t>
        </is>
      </c>
    </row>
    <row r="37">
      <c r="A37" s="16" t="inlineStr">
        <is>
          <t>红色细边框</t>
        </is>
      </c>
      <c r="B37" s="41" t="inlineStr">
        <is>
          <t>红色细边框</t>
        </is>
      </c>
      <c r="C37" s="5" t="inlineStr">
        <is>
          <t>四周是红色细边框</t>
        </is>
      </c>
    </row>
    <row r="38">
      <c r="A38" s="16" t="inlineStr">
        <is>
          <t>只有下边框</t>
        </is>
      </c>
      <c r="B38" s="42" t="inlineStr">
        <is>
          <t>下边框</t>
        </is>
      </c>
      <c r="C38" s="5" t="inlineStr">
        <is>
          <t>只有底部一条线</t>
        </is>
      </c>
    </row>
    <row r="40">
      <c r="A40" s="16" t="inlineStr">
        <is>
          <t>水平左对齐</t>
        </is>
      </c>
      <c r="B40" s="43" t="inlineStr">
        <is>
          <t>左</t>
        </is>
      </c>
      <c r="C40" s="5" t="inlineStr">
        <is>
          <t>靠左</t>
        </is>
      </c>
    </row>
    <row r="41">
      <c r="A41" s="16" t="inlineStr">
        <is>
          <t>水平居中</t>
        </is>
      </c>
      <c r="B41" s="44" t="inlineStr">
        <is>
          <t>中</t>
        </is>
      </c>
      <c r="C41" s="5" t="inlineStr">
        <is>
          <t>居中</t>
        </is>
      </c>
    </row>
    <row r="42">
      <c r="A42" s="16" t="inlineStr">
        <is>
          <t>水平右对齐</t>
        </is>
      </c>
      <c r="B42" s="45" t="inlineStr">
        <is>
          <t>右</t>
        </is>
      </c>
      <c r="C42" s="5" t="inlineStr">
        <is>
          <t>靠右</t>
        </is>
      </c>
    </row>
    <row r="43" ht="36" customHeight="1">
      <c r="A43" s="16" t="inlineStr">
        <is>
          <t>垂直靠上</t>
        </is>
      </c>
      <c r="B43" s="46" t="inlineStr">
        <is>
          <t>上</t>
        </is>
      </c>
      <c r="C43" s="5" t="inlineStr">
        <is>
          <t>贴着单元格顶部</t>
        </is>
      </c>
    </row>
    <row r="44" ht="36" customHeight="1">
      <c r="A44" s="16" t="inlineStr">
        <is>
          <t>垂直居中</t>
        </is>
      </c>
      <c r="B44" s="47" t="inlineStr">
        <is>
          <t>中</t>
        </is>
      </c>
      <c r="C44" s="5" t="inlineStr">
        <is>
          <t>垂直居中</t>
        </is>
      </c>
    </row>
    <row r="45" ht="36" customHeight="1">
      <c r="A45" s="16" t="inlineStr">
        <is>
          <t>垂直靠下</t>
        </is>
      </c>
      <c r="B45" s="48" t="inlineStr">
        <is>
          <t>下</t>
        </is>
      </c>
      <c r="C45" s="5" t="inlineStr">
        <is>
          <t>贴着单元格底部</t>
        </is>
      </c>
    </row>
    <row r="46" ht="45" customHeight="1">
      <c r="A46" s="16" t="inlineStr">
        <is>
          <t>自动换行</t>
        </is>
      </c>
      <c r="B46" s="49" t="inlineStr">
        <is>
          <t>这是一段很长的文字，开启自动换行后会在单元格宽度内折成多行显示</t>
        </is>
      </c>
      <c r="C46" s="5" t="inlineStr">
        <is>
          <t>文字在单元格宽度内折成多行</t>
        </is>
      </c>
    </row>
    <row r="47">
      <c r="A47" s="16" t="inlineStr">
        <is>
          <t>缩进 2</t>
        </is>
      </c>
      <c r="B47" s="50" t="inlineStr">
        <is>
          <t>缩进两级</t>
        </is>
      </c>
      <c r="C47" s="5" t="inlineStr">
        <is>
          <t>左侧有缩进</t>
        </is>
      </c>
    </row>
    <row r="48" ht="48" customHeight="1">
      <c r="A48" s="16" t="inlineStr">
        <is>
          <t>旋转 45°</t>
        </is>
      </c>
      <c r="B48" s="51" t="inlineStr">
        <is>
          <t>旋转45度</t>
        </is>
      </c>
      <c r="C48" s="5" t="inlineStr">
        <is>
          <t>文字向上倾斜 45°</t>
        </is>
      </c>
    </row>
    <row r="49" ht="48" customHeight="1">
      <c r="A49" s="16" t="inlineStr">
        <is>
          <t>旋转 -45°</t>
        </is>
      </c>
      <c r="B49" s="52" t="inlineStr">
        <is>
          <t>旋转-45度</t>
        </is>
      </c>
      <c r="C49" s="5" t="inlineStr">
        <is>
          <t>文字向下倾斜 45°</t>
        </is>
      </c>
    </row>
    <row r="50" ht="60" customHeight="1">
      <c r="A50" s="16" t="inlineStr">
        <is>
          <t>竖排文字</t>
        </is>
      </c>
      <c r="B50" s="53" t="inlineStr">
        <is>
          <t>竖排</t>
        </is>
      </c>
      <c r="C50" s="5" t="inlineStr">
        <is>
          <t>文字竖着排列</t>
        </is>
      </c>
    </row>
  </sheetData>
  <mergeCells count="3">
    <mergeCell ref="E7:E10"/>
    <mergeCell ref="E5:G5"/>
    <mergeCell ref="F7:H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34" customWidth="1" min="3" max="3"/>
    <col width="20" customWidth="1" min="4" max="4"/>
    <col width="22" customWidth="1" min="5" max="5"/>
  </cols>
  <sheetData>
    <row r="1">
      <c r="A1" s="1" t="inlineStr">
        <is>
          <t>数字格式</t>
        </is>
      </c>
    </row>
    <row r="2">
      <c r="A2" s="5" t="inlineStr">
        <is>
          <t>B 列是原始值，C 列是格式代码，D 列是应用格式后的显示效果，E 列是 Excel 里的预期显示</t>
        </is>
      </c>
    </row>
    <row r="4">
      <c r="A4" s="9" t="inlineStr">
        <is>
          <t>说明</t>
        </is>
      </c>
      <c r="B4" s="9" t="inlineStr">
        <is>
          <t>原始值</t>
        </is>
      </c>
      <c r="C4" s="9" t="inlineStr">
        <is>
          <t>格式代码</t>
        </is>
      </c>
      <c r="D4" s="9" t="inlineStr">
        <is>
          <t>显示效果</t>
        </is>
      </c>
      <c r="E4" s="9" t="inlineStr">
        <is>
          <t>预期显示</t>
        </is>
      </c>
    </row>
    <row r="5">
      <c r="A5" s="16" t="inlineStr">
        <is>
          <t>两位小数</t>
        </is>
      </c>
      <c r="B5" s="16" t="n">
        <v>1234.5678</v>
      </c>
      <c r="C5" s="16" t="inlineStr">
        <is>
          <t>0.00</t>
        </is>
      </c>
      <c r="D5" s="54">
        <f>B5</f>
        <v>1234.5678</v>
      </c>
      <c r="E5" s="5" t="inlineStr">
        <is>
          <t>1234.57</t>
        </is>
      </c>
    </row>
    <row r="6">
      <c r="A6" s="16" t="inlineStr">
        <is>
          <t>千分位</t>
        </is>
      </c>
      <c r="B6" s="16" t="n">
        <v>1234.5678</v>
      </c>
      <c r="C6" s="16" t="inlineStr">
        <is>
          <t>#,##0</t>
        </is>
      </c>
      <c r="D6" s="55">
        <f>B6</f>
        <v>1234.5678</v>
      </c>
      <c r="E6" s="5" t="inlineStr">
        <is>
          <t>1,235</t>
        </is>
      </c>
    </row>
    <row r="7">
      <c r="A7" s="16" t="inlineStr">
        <is>
          <t>千分位两位小数</t>
        </is>
      </c>
      <c r="B7" s="16" t="n">
        <v>1234.5678</v>
      </c>
      <c r="C7" s="16" t="inlineStr">
        <is>
          <t>#,##0.00</t>
        </is>
      </c>
      <c r="D7" s="56">
        <f>B7</f>
        <v>1234.5678</v>
      </c>
      <c r="E7" s="5" t="inlineStr">
        <is>
          <t>1,234.57</t>
        </is>
      </c>
    </row>
    <row r="8">
      <c r="A8" s="16" t="inlineStr">
        <is>
          <t>人民币</t>
        </is>
      </c>
      <c r="B8" s="16" t="n">
        <v>1234.5678</v>
      </c>
      <c r="C8" s="16" t="inlineStr">
        <is>
          <t>¥#,##0.00</t>
        </is>
      </c>
      <c r="D8" s="57">
        <f>B8</f>
        <v>1234.5678</v>
      </c>
      <c r="E8" s="5" t="inlineStr">
        <is>
          <t>¥1,234.57</t>
        </is>
      </c>
    </row>
    <row r="9">
      <c r="A9" s="16" t="inlineStr">
        <is>
          <t>负数红色</t>
        </is>
      </c>
      <c r="B9" s="16" t="n">
        <v>-1234.5678</v>
      </c>
      <c r="C9" s="16" t="inlineStr">
        <is>
          <t>$#,##0.00;[Red]-$#,##0.00</t>
        </is>
      </c>
      <c r="D9" s="58">
        <f>B9</f>
        <v>-1234.5678</v>
      </c>
      <c r="E9" s="5" t="inlineStr">
        <is>
          <t>-$1,234.57（红色）</t>
        </is>
      </c>
    </row>
    <row r="10">
      <c r="A10" s="16" t="inlineStr">
        <is>
          <t>负数括号</t>
        </is>
      </c>
      <c r="B10" s="16" t="n">
        <v>-1234.5678</v>
      </c>
      <c r="C10" s="16" t="inlineStr">
        <is>
          <t>#,##0.00;(#,##0.00)</t>
        </is>
      </c>
      <c r="D10" s="59">
        <f>B10</f>
        <v>-1234.5678</v>
      </c>
      <c r="E10" s="5" t="inlineStr">
        <is>
          <t>(1,234.57)</t>
        </is>
      </c>
    </row>
    <row r="11">
      <c r="A11" s="16" t="inlineStr">
        <is>
          <t>百分比</t>
        </is>
      </c>
      <c r="B11" s="16" t="n">
        <v>0.256</v>
      </c>
      <c r="C11" s="16" t="inlineStr">
        <is>
          <t>0%</t>
        </is>
      </c>
      <c r="D11" s="60">
        <f>B11</f>
        <v>0.256</v>
      </c>
      <c r="E11" s="5" t="inlineStr">
        <is>
          <t>26%</t>
        </is>
      </c>
    </row>
    <row r="12">
      <c r="A12" s="16" t="inlineStr">
        <is>
          <t>百分比两位</t>
        </is>
      </c>
      <c r="B12" s="16" t="n">
        <v>0.256</v>
      </c>
      <c r="C12" s="16" t="inlineStr">
        <is>
          <t>0.00%</t>
        </is>
      </c>
      <c r="D12" s="61">
        <f>B12</f>
        <v>0.256</v>
      </c>
      <c r="E12" s="5" t="inlineStr">
        <is>
          <t>25.60%</t>
        </is>
      </c>
    </row>
    <row r="13">
      <c r="A13" s="16" t="inlineStr">
        <is>
          <t>科学计数</t>
        </is>
      </c>
      <c r="B13" s="16" t="n">
        <v>1234.5678</v>
      </c>
      <c r="C13" s="16" t="inlineStr">
        <is>
          <t>0.00E+00</t>
        </is>
      </c>
      <c r="D13" s="62">
        <f>B13</f>
        <v>1234.5678</v>
      </c>
      <c r="E13" s="5" t="inlineStr">
        <is>
          <t>1.23E+03</t>
        </is>
      </c>
    </row>
    <row r="14">
      <c r="A14" s="16" t="inlineStr">
        <is>
          <t>分数</t>
        </is>
      </c>
      <c r="B14" s="16" t="n">
        <v>1.25</v>
      </c>
      <c r="C14" s="16" t="inlineStr">
        <is>
          <t># ?/?</t>
        </is>
      </c>
      <c r="D14" s="63">
        <f>B14</f>
        <v>1.25</v>
      </c>
      <c r="E14" s="5" t="inlineStr">
        <is>
          <t>1 1/4</t>
        </is>
      </c>
    </row>
    <row r="15">
      <c r="A15" s="16" t="inlineStr">
        <is>
          <t>补零</t>
        </is>
      </c>
      <c r="B15" s="16" t="n">
        <v>42</v>
      </c>
      <c r="C15" s="16" t="inlineStr">
        <is>
          <t>000000</t>
        </is>
      </c>
      <c r="D15" s="64">
        <f>B15</f>
        <v>42</v>
      </c>
      <c r="E15" s="5" t="inlineStr">
        <is>
          <t>000042</t>
        </is>
      </c>
    </row>
    <row r="16">
      <c r="A16" s="16" t="inlineStr">
        <is>
          <t>日期</t>
        </is>
      </c>
      <c r="B16" s="20" t="n">
        <v>46294</v>
      </c>
      <c r="C16" s="16" t="inlineStr">
        <is>
          <t>yyyy-mm-dd</t>
        </is>
      </c>
      <c r="D16" s="65">
        <f>B16</f>
        <v>46294.0</v>
      </c>
      <c r="E16" s="5" t="inlineStr">
        <is>
          <t>2026-09-29</t>
        </is>
      </c>
    </row>
    <row r="17">
      <c r="A17" s="16" t="inlineStr">
        <is>
          <t>中文日期</t>
        </is>
      </c>
      <c r="B17" s="20" t="n">
        <v>46294</v>
      </c>
      <c r="C17" s="16" t="inlineStr">
        <is>
          <t>yyyy"年"m"月"d"日"</t>
        </is>
      </c>
      <c r="D17" s="66">
        <f>B17</f>
        <v>46294.0</v>
      </c>
      <c r="E17" s="5" t="inlineStr">
        <is>
          <t>2026年9月29日</t>
        </is>
      </c>
    </row>
    <row r="18">
      <c r="A18" s="16" t="inlineStr">
        <is>
          <t>星期</t>
        </is>
      </c>
      <c r="B18" s="20" t="n">
        <v>46294</v>
      </c>
      <c r="C18" s="16" t="inlineStr">
        <is>
          <t>aaaa</t>
        </is>
      </c>
      <c r="D18" s="67">
        <f>B18</f>
        <v>46294</v>
      </c>
      <c r="E18" s="5" t="inlineStr">
        <is>
          <t>星期二</t>
        </is>
      </c>
    </row>
    <row r="19">
      <c r="A19" s="16" t="inlineStr">
        <is>
          <t>时间</t>
        </is>
      </c>
      <c r="B19" s="21" t="n">
        <v>0.5732638888888889</v>
      </c>
      <c r="C19" s="16" t="inlineStr">
        <is>
          <t>hh:mm:ss</t>
        </is>
      </c>
      <c r="D19" s="68">
        <f>B19</f>
        <v>0.5732638888888889</v>
      </c>
      <c r="E19" s="5" t="inlineStr">
        <is>
          <t>13:45:30</t>
        </is>
      </c>
    </row>
    <row r="20">
      <c r="A20" s="16" t="inlineStr">
        <is>
          <t>12 小时制</t>
        </is>
      </c>
      <c r="B20" s="21" t="n">
        <v>0.5732638888888889</v>
      </c>
      <c r="C20" s="16" t="inlineStr">
        <is>
          <t>h:mm AM/PM</t>
        </is>
      </c>
      <c r="D20" s="69">
        <f>B20</f>
        <v>0.5732638888888889</v>
      </c>
      <c r="E20" s="5" t="inlineStr">
        <is>
          <t>1:45 PM（中文环境显示 1:45 下午）</t>
        </is>
      </c>
    </row>
    <row r="21">
      <c r="A21" s="16" t="inlineStr">
        <is>
          <t>累计小时</t>
        </is>
      </c>
      <c r="B21" s="16" t="n">
        <v>1.5</v>
      </c>
      <c r="C21" s="16" t="inlineStr">
        <is>
          <t>[h]:mm</t>
        </is>
      </c>
      <c r="D21" s="70" t="str">
        <f>B21</f>
        <v>1 day, 12:00:00</v>
      </c>
      <c r="E21" s="5" t="inlineStr">
        <is>
          <t>36:00</t>
        </is>
      </c>
    </row>
    <row r="22">
      <c r="A22" s="16" t="inlineStr">
        <is>
          <t>日期时间</t>
        </is>
      </c>
      <c r="B22" s="22" t="n">
        <v>46294.57291666666</v>
      </c>
      <c r="C22" s="16" t="inlineStr">
        <is>
          <t>yyyy/m/d h:mm</t>
        </is>
      </c>
      <c r="D22" s="71">
        <f>B22</f>
        <v>46294.572916666664</v>
      </c>
      <c r="E22" s="5" t="inlineStr">
        <is>
          <t>2026/9/29 13:45</t>
        </is>
      </c>
    </row>
    <row r="23">
      <c r="A23" s="16" t="inlineStr">
        <is>
          <t>条件格式代码</t>
        </is>
      </c>
      <c r="B23" s="16" t="n">
        <v>1500</v>
      </c>
      <c r="C23" s="16" t="inlineStr">
        <is>
          <t>[&gt;=1000]#,##0"(大)";0"(小)"</t>
        </is>
      </c>
      <c r="D23" s="72">
        <f>B23</f>
        <v>1500</v>
      </c>
      <c r="E23" s="5" t="inlineStr">
        <is>
          <t>1,500(大)</t>
        </is>
      </c>
    </row>
    <row r="24">
      <c r="A24" s="16" t="inlineStr">
        <is>
          <t>带单位文字</t>
        </is>
      </c>
      <c r="B24" s="16" t="n">
        <v>88</v>
      </c>
      <c r="C24" s="16" t="inlineStr">
        <is>
          <t>0"分"</t>
        </is>
      </c>
      <c r="D24" s="73">
        <f>B24</f>
        <v>88</v>
      </c>
      <c r="E24" s="5" t="inlineStr">
        <is>
          <t>88分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36" customWidth="1" min="1" max="1"/>
    <col width="52" customWidth="1" min="2" max="2"/>
    <col width="16" customWidth="1" min="3" max="3"/>
    <col width="16" customWidth="1" min="4" max="4"/>
    <col width="12" customWidth="1" min="5" max="5"/>
    <col width="3" customWidth="1" min="7" max="7"/>
    <col width="10" customWidth="1" min="8" max="8"/>
    <col width="10" customWidth="1" min="9" max="9"/>
    <col width="10" customWidth="1" min="10" max="10"/>
    <col width="10" customWidth="1" min="12" max="12"/>
  </cols>
  <sheetData>
    <row r="1">
      <c r="A1" s="1" t="inlineStr">
        <is>
          <t>公式</t>
        </is>
      </c>
    </row>
    <row r="2">
      <c r="A2" s="5" t="inlineStr">
        <is>
          <t>C 列是公式结果，D 列是预期结果，E 列自动比对（✓ 一致 / ✗ 不一致）；H:J 是公式用到的数据</t>
        </is>
      </c>
    </row>
    <row r="4">
      <c r="A4" s="9" t="inlineStr">
        <is>
          <t>说明</t>
        </is>
      </c>
      <c r="B4" s="9" t="inlineStr">
        <is>
          <t>公式</t>
        </is>
      </c>
      <c r="C4" s="9" t="inlineStr">
        <is>
          <t>结果</t>
        </is>
      </c>
      <c r="D4" s="9" t="inlineStr">
        <is>
          <t>预期结果</t>
        </is>
      </c>
      <c r="E4" s="9" t="inlineStr">
        <is>
          <t>比对</t>
        </is>
      </c>
      <c r="H4" s="9" t="inlineStr">
        <is>
          <t>产品</t>
        </is>
      </c>
      <c r="I4" s="9" t="inlineStr">
        <is>
          <t>单价</t>
        </is>
      </c>
      <c r="J4" s="9" t="inlineStr">
        <is>
          <t>数量</t>
        </is>
      </c>
      <c r="L4" s="74" t="inlineStr">
        <is>
          <t>本页目标</t>
        </is>
      </c>
    </row>
    <row r="5">
      <c r="A5" s="16" t="inlineStr">
        <is>
          <t>求和 SUM</t>
        </is>
      </c>
      <c r="B5" s="75" t="inlineStr">
        <is>
          <t>=SUM(J5:J10)</t>
        </is>
      </c>
      <c r="C5" s="16">
        <f>SUM(J5:J10)</f>
        <v>910</v>
      </c>
      <c r="D5" s="5" t="n">
        <v>910</v>
      </c>
      <c r="E5" s="15" t="str">
        <f>IF(ROUND(C5,6)=ROUND(D5,6),"✓ 一致","✗ 不一致")</f>
        <v>✓ 一致</v>
      </c>
      <c r="H5" s="16" t="inlineStr">
        <is>
          <t>苹果</t>
        </is>
      </c>
      <c r="I5" s="16" t="n">
        <v>5.5</v>
      </c>
      <c r="J5" s="16" t="n">
        <v>120</v>
      </c>
      <c r="L5" s="16" t="n">
        <v>1000</v>
      </c>
    </row>
    <row r="6">
      <c r="A6" s="16" t="inlineStr">
        <is>
          <t>平均 AVERAGE + ROUND</t>
        </is>
      </c>
      <c r="B6" s="75" t="inlineStr">
        <is>
          <t>=ROUND(AVERAGE(I5:I10),2)</t>
        </is>
      </c>
      <c r="C6" s="16">
        <f>ROUND(AVERAGE(I5:I10),2)</f>
        <v>5.67</v>
      </c>
      <c r="D6" s="5" t="n">
        <v>5.67</v>
      </c>
      <c r="E6" s="15" t="str">
        <f>IF(ROUND(C6,6)=ROUND(D6,6),"✓ 一致","✗ 不一致")</f>
        <v>✓ 一致</v>
      </c>
      <c r="H6" s="16" t="inlineStr">
        <is>
          <t>香蕉</t>
        </is>
      </c>
      <c r="I6" s="16" t="n">
        <v>3.2</v>
      </c>
      <c r="J6" s="16" t="n">
        <v>200</v>
      </c>
    </row>
    <row r="7">
      <c r="A7" s="16" t="inlineStr">
        <is>
          <t>条件 IF</t>
        </is>
      </c>
      <c r="B7" s="75" t="inlineStr">
        <is>
          <t>=IF(I8&gt;10,"贵","便宜")</t>
        </is>
      </c>
      <c r="C7" s="16" t="str">
        <f>IF(I8&gt;10,"贵","便宜")</f>
        <v>贵</v>
      </c>
      <c r="D7" s="5" t="inlineStr">
        <is>
          <t>贵</t>
        </is>
      </c>
      <c r="E7" s="15" t="str">
        <f>IF(C7=D7,"✓ 一致","✗ 不一致")</f>
        <v>✓ 一致</v>
      </c>
      <c r="H7" s="16" t="inlineStr">
        <is>
          <t>橙子</t>
        </is>
      </c>
      <c r="I7" s="16" t="n">
        <v>4.8</v>
      </c>
      <c r="J7" s="16" t="n">
        <v>150</v>
      </c>
    </row>
    <row r="8">
      <c r="A8" s="16" t="inlineStr">
        <is>
          <t>查找 VLOOKUP</t>
        </is>
      </c>
      <c r="B8" s="75" t="inlineStr">
        <is>
          <t>=VLOOKUP("橙子",H5:J10,2,FALSE)</t>
        </is>
      </c>
      <c r="C8" s="16">
        <f>VLOOKUP("橙子",H5:J10,2,FALSE)</f>
        <v>4.8</v>
      </c>
      <c r="D8" s="5" t="n">
        <v>4.8</v>
      </c>
      <c r="E8" s="15" t="str">
        <f>IF(ROUND(C8,6)=ROUND(D8,6),"✓ 一致","✗ 不一致")</f>
        <v>✓ 一致</v>
      </c>
      <c r="H8" s="16" t="inlineStr">
        <is>
          <t>葡萄</t>
        </is>
      </c>
      <c r="I8" s="16" t="n">
        <v>12</v>
      </c>
      <c r="J8" s="16" t="n">
        <v>60</v>
      </c>
    </row>
    <row r="9">
      <c r="A9" s="16" t="inlineStr">
        <is>
          <t>INDEX + MATCH</t>
        </is>
      </c>
      <c r="B9" s="75" t="inlineStr">
        <is>
          <t>=INDEX(J5:J10,MATCH("葡萄",H5:H10,0))</t>
        </is>
      </c>
      <c r="C9" s="16">
        <f>INDEX(J5:J10,MATCH("葡萄",H5:H10,0))</f>
        <v>60</v>
      </c>
      <c r="D9" s="5" t="n">
        <v>60</v>
      </c>
      <c r="E9" s="15" t="str">
        <f>IF(ROUND(C9,6)=ROUND(D9,6),"✓ 一致","✗ 不一致")</f>
        <v>✓ 一致</v>
      </c>
      <c r="H9" s="16" t="inlineStr">
        <is>
          <t>苹果</t>
        </is>
      </c>
      <c r="I9" s="16" t="n">
        <v>6</v>
      </c>
      <c r="J9" s="16" t="n">
        <v>80</v>
      </c>
    </row>
    <row r="10">
      <c r="A10" s="16" t="inlineStr">
        <is>
          <t>多条件求和 SUMIFS</t>
        </is>
      </c>
      <c r="B10" s="75" t="inlineStr">
        <is>
          <t>=SUMIFS(J5:J10,H5:H10,"苹果")</t>
        </is>
      </c>
      <c r="C10" s="16">
        <f>SUMIFS(J5:J10,H5:H10,"苹果")</f>
        <v>200</v>
      </c>
      <c r="D10" s="5" t="n">
        <v>200</v>
      </c>
      <c r="E10" s="15" t="str">
        <f>IF(ROUND(C10,6)=ROUND(D10,6),"✓ 一致","✗ 不一致")</f>
        <v>✓ 一致</v>
      </c>
      <c r="H10" s="16" t="inlineStr">
        <is>
          <t>西瓜</t>
        </is>
      </c>
      <c r="I10" s="16" t="n">
        <v>2.5</v>
      </c>
      <c r="J10" s="16" t="n">
        <v>300</v>
      </c>
    </row>
    <row r="11">
      <c r="A11" s="16" t="inlineStr">
        <is>
          <t>计数 COUNTIF</t>
        </is>
      </c>
      <c r="B11" s="75" t="inlineStr">
        <is>
          <t>=COUNTIF(I5:I10,"&gt;5")</t>
        </is>
      </c>
      <c r="C11" s="16">
        <f>COUNTIF(I5:I10,"&gt;5")</f>
        <v>3</v>
      </c>
      <c r="D11" s="5" t="n">
        <v>3</v>
      </c>
      <c r="E11" s="15" t="str">
        <f>IF(ROUND(C11,6)=ROUND(D11,6),"✓ 一致","✗ 不一致")</f>
        <v>✓ 一致</v>
      </c>
    </row>
    <row r="12">
      <c r="A12" s="16" t="inlineStr">
        <is>
          <t>文本 TEXT + DATE</t>
        </is>
      </c>
      <c r="B12" s="75" t="inlineStr">
        <is>
          <t>=TEXT(DATE(2026,9,29),"yyyy-mm-dd")</t>
        </is>
      </c>
      <c r="C12" s="16" t="str">
        <f>TEXT(DATE(2026,9,29),"yyyy-mm-dd")</f>
        <v>2026-09-29</v>
      </c>
      <c r="D12" s="5" t="inlineStr">
        <is>
          <t>2026-09-29</t>
        </is>
      </c>
      <c r="E12" s="15" t="str">
        <f>IF(C12=D12,"✓ 一致","✗ 不一致")</f>
        <v>✓ 一致</v>
      </c>
    </row>
    <row r="13">
      <c r="A13" s="16" t="inlineStr">
        <is>
          <t>错误处理 IFERROR</t>
        </is>
      </c>
      <c r="B13" s="75" t="inlineStr">
        <is>
          <t>=IFERROR(1/0,"除零已处理")</t>
        </is>
      </c>
      <c r="C13" s="16" t="str">
        <f>IFERROR(1/0,"除零已处理")</f>
        <v>除零已处理</v>
      </c>
      <c r="D13" s="5" t="inlineStr">
        <is>
          <t>除零已处理</t>
        </is>
      </c>
      <c r="E13" s="15" t="str">
        <f>IF(C13=D13,"✓ 一致","✗ 不一致")</f>
        <v>✓ 一致</v>
      </c>
    </row>
    <row r="14">
      <c r="A14" s="16" t="inlineStr">
        <is>
          <t>传统数组公式 {=SUM(单价*数量)}</t>
        </is>
      </c>
      <c r="B14" s="75" t="inlineStr">
        <is>
          <t>{=SUM(I5:I10*J5:J10)}</t>
        </is>
      </c>
      <c r="C14" s="16">
        <f t="array" ref="C14">SUM(I5:I10*J5:J10)</f>
        <v>3970</v>
      </c>
      <c r="D14" s="5" t="n">
        <v>3970</v>
      </c>
      <c r="E14" s="15" t="str">
        <f>IF(ROUND(C14,6)=ROUND(D14,6),"✓ 一致","✗ 不一致")</f>
        <v>✓ 一致</v>
      </c>
    </row>
    <row r="15">
      <c r="A15" s="16" t="inlineStr">
        <is>
          <t>跨表引用</t>
        </is>
      </c>
      <c r="B15" s="75" t="inlineStr">
        <is>
          <t>='样式'!B6*2</t>
        </is>
      </c>
      <c r="C15" s="16">
        <f>'样式'!B6*2</f>
        <v>24690</v>
      </c>
      <c r="D15" s="5" t="n">
        <v>24690</v>
      </c>
      <c r="E15" s="15" t="str">
        <f>IF(ROUND(C15,6)=ROUND(D15,6),"✓ 一致","✗ 不一致")</f>
        <v>✓ 一致</v>
      </c>
    </row>
    <row r="16">
      <c r="A16" s="16" t="inlineStr">
        <is>
          <t>定义名称（全局）：税率</t>
        </is>
      </c>
      <c r="B16" s="75" t="inlineStr">
        <is>
          <t>=税率*100</t>
        </is>
      </c>
      <c r="C16" s="16">
        <f>税率*100</f>
        <v>13</v>
      </c>
      <c r="D16" s="5" t="n">
        <v>13</v>
      </c>
      <c r="E16" s="15" t="str">
        <f>IF(ROUND(C16,6)=ROUND(D16,6),"✓ 一致","✗ 不一致")</f>
        <v>✓ 一致</v>
      </c>
    </row>
    <row r="17">
      <c r="A17" s="16" t="inlineStr">
        <is>
          <t>定义名称（本表作用域）：本页目标</t>
        </is>
      </c>
      <c r="B17" s="75" t="inlineStr">
        <is>
          <t>=本页目标</t>
        </is>
      </c>
      <c r="C17" s="16">
        <f>本页目标</f>
        <v>1000</v>
      </c>
      <c r="D17" s="5" t="n">
        <v>1000</v>
      </c>
      <c r="E17" s="15" t="str">
        <f>IF(ROUND(C17,6)=ROUND(D17,6),"✓ 一致","✗ 不一致")</f>
        <v>✓ 一致</v>
      </c>
    </row>
    <row r="18">
      <c r="A18" s="16" t="inlineStr">
        <is>
          <t>定义名称（公式型）：常数 = 42*2</t>
        </is>
      </c>
      <c r="B18" s="75" t="inlineStr">
        <is>
          <t>=常数+1</t>
        </is>
      </c>
      <c r="C18" s="16">
        <f>常数+1</f>
        <v>85</v>
      </c>
      <c r="D18" s="5" t="n">
        <v>85</v>
      </c>
      <c r="E18" s="15" t="str">
        <f>IF(ROUND(C18,6)=ROUND(D18,6),"✓ 一致","✗ 不一致")</f>
        <v>✓ 一致</v>
      </c>
    </row>
    <row r="19">
      <c r="A19" s="16" t="inlineStr">
        <is>
          <t>定义名称（区域）：单价区</t>
        </is>
      </c>
      <c r="B19" s="75" t="inlineStr">
        <is>
          <t>=MAX(单价区)</t>
        </is>
      </c>
      <c r="C19" s="16">
        <f>MAX(单价区)</f>
        <v>12</v>
      </c>
      <c r="D19" s="5" t="n">
        <v>12</v>
      </c>
      <c r="E19" s="15" t="str">
        <f>IF(ROUND(C19,6)=ROUND(D19,6),"✓ 一致","✗ 不一致")</f>
        <v>✓ 一致</v>
      </c>
    </row>
    <row r="20">
      <c r="A20" s="16" t="inlineStr">
        <is>
          <t>IFS（2019 新函数）</t>
        </is>
      </c>
      <c r="B20" s="75" t="inlineStr">
        <is>
          <t>=_xlfn.IFS(I8&gt;10,"高",I8&gt;5,"中",TRUE,"低")</t>
        </is>
      </c>
      <c r="C20" s="16" t="str">
        <f>_xlfn.IFS(I8&gt;10,"高",I8&gt;5,"中",TRUE,"低")</f>
        <v>高</v>
      </c>
      <c r="D20" s="5" t="inlineStr">
        <is>
          <t>高</t>
        </is>
      </c>
      <c r="E20" s="15" t="str">
        <f>IF(C20=D20,"✓ 一致","✗ 不一致")</f>
        <v>✓ 一致</v>
      </c>
    </row>
    <row r="21">
      <c r="A21" s="16" t="inlineStr">
        <is>
          <t>SWITCH</t>
        </is>
      </c>
      <c r="B21" s="75" t="inlineStr">
        <is>
          <t>=_xlfn.SWITCH(H6,"香蕉","黄色","苹果","红色","其他")</t>
        </is>
      </c>
      <c r="C21" s="16" t="str">
        <f>_xlfn.SWITCH(H6,"香蕉","黄色","苹果","红色","其他")</f>
        <v>黄色</v>
      </c>
      <c r="D21" s="5" t="inlineStr">
        <is>
          <t>黄色</t>
        </is>
      </c>
      <c r="E21" s="15" t="str">
        <f>IF(C21=D21,"✓ 一致","✗ 不一致")</f>
        <v>✓ 一致</v>
      </c>
    </row>
    <row r="22">
      <c r="A22" s="16" t="inlineStr">
        <is>
          <t>TEXTJOIN</t>
        </is>
      </c>
      <c r="B22" s="75" t="inlineStr">
        <is>
          <t>=_xlfn.TEXTJOIN("、",TRUE,H5:H7)</t>
        </is>
      </c>
      <c r="C22" s="16" t="str">
        <f>_xlfn.TEXTJOIN("、",TRUE,H5:H7)</f>
        <v>苹果、香蕉、橙子</v>
      </c>
      <c r="D22" s="5" t="inlineStr">
        <is>
          <t>苹果、香蕉、橙子</t>
        </is>
      </c>
      <c r="E22" s="15" t="str">
        <f>IF(C22=D22,"✓ 一致","✗ 不一致")</f>
        <v>✓ 一致</v>
      </c>
    </row>
    <row r="23">
      <c r="A23" s="16" t="inlineStr">
        <is>
          <t>CONCAT</t>
        </is>
      </c>
      <c r="B23" s="75" t="inlineStr">
        <is>
          <t>=_xlfn.CONCAT(H5,"-",H6)</t>
        </is>
      </c>
      <c r="C23" s="16" t="str">
        <f>_xlfn.CONCAT(H5,"-",H6)</f>
        <v>苹果-香蕉</v>
      </c>
      <c r="D23" s="5" t="inlineStr">
        <is>
          <t>苹果-香蕉</t>
        </is>
      </c>
      <c r="E23" s="15" t="str">
        <f>IF(C23=D23,"✓ 一致","✗ 不一致")</f>
        <v>✓ 一致</v>
      </c>
    </row>
    <row r="24">
      <c r="A24" s="16" t="inlineStr">
        <is>
          <t>MAXIFS</t>
        </is>
      </c>
      <c r="B24" s="75" t="inlineStr">
        <is>
          <t>=_xlfn.MAXIFS(J5:J10,H5:H10,"苹果")</t>
        </is>
      </c>
      <c r="C24" s="16">
        <f>_xlfn.MAXIFS(J5:J10,H5:H10,"苹果")</f>
        <v>120</v>
      </c>
      <c r="D24" s="5" t="n">
        <v>120</v>
      </c>
      <c r="E24" s="15" t="str">
        <f>IF(ROUND(C24,6)=ROUND(D24,6),"✓ 一致","✗ 不一致")</f>
        <v>✓ 一致</v>
      </c>
    </row>
    <row r="25">
      <c r="A25" s="16" t="inlineStr">
        <is>
          <t>MINIFS</t>
        </is>
      </c>
      <c r="B25" s="75" t="inlineStr">
        <is>
          <t>=_xlfn.MINIFS(I5:I10,H5:H10,"苹果")</t>
        </is>
      </c>
      <c r="C25" s="16">
        <f>_xlfn.MINIFS(I5:I10,H5:H10,"苹果")</f>
        <v>5.5</v>
      </c>
      <c r="D25" s="5" t="n">
        <v>5.5</v>
      </c>
      <c r="E25" s="15" t="str">
        <f>IF(ROUND(C25,6)=ROUND(D25,6),"✓ 一致","✗ 不一致")</f>
        <v>✓ 一致</v>
      </c>
    </row>
    <row r="26">
      <c r="A26" s="16" t="inlineStr">
        <is>
          <t>XLOOKUP</t>
        </is>
      </c>
      <c r="B26" s="75" t="inlineStr">
        <is>
          <t>=XLOOKUP("葡萄",H5:H10,I5:I10)</t>
        </is>
      </c>
      <c r="C26" s="16">
        <f>_xlfn.XLOOKUP("葡萄",H5:H10,I5:I10)</f>
        <v>12</v>
      </c>
      <c r="D26" s="5" t="n">
        <v>12</v>
      </c>
      <c r="E26" s="15" t="str">
        <f>IF(ROUND(C26,6)=ROUND(D26,6),"✓ 一致","✗ 不一致")</f>
        <v>✓ 一致</v>
      </c>
    </row>
    <row r="27">
      <c r="A27" s="16" t="inlineStr">
        <is>
          <t>LET</t>
        </is>
      </c>
      <c r="B27" s="75" t="inlineStr">
        <is>
          <t>=LET(x,SUM(J5:J10),y,COUNT(J5:J10),ROUND(x/y,2))</t>
        </is>
      </c>
      <c r="C27" s="16">
        <f>_xlfn.LET(_xlpm.x,SUM(J5:J10),_xlpm.y,COUNT(J5:J10),ROUND(_xlpm.x/_xlpm.y,2))</f>
        <v>151.67</v>
      </c>
      <c r="D27" s="5" t="n">
        <v>151.67</v>
      </c>
      <c r="E27" s="15" t="str">
        <f>IF(ROUND(C27,6)=ROUND(D27,6),"✓ 一致","✗ 不一致")</f>
        <v>✓ 一致</v>
      </c>
    </row>
    <row r="28">
      <c r="A28" s="16" t="inlineStr">
        <is>
          <t>LAMBDA</t>
        </is>
      </c>
      <c r="B28" s="75" t="inlineStr">
        <is>
          <t>=LAMBDA(a,b,a*b)(I5,J5)</t>
        </is>
      </c>
      <c r="C28" s="16">
        <f>_xlfn.LAMBDA(_xlpm.a,_xlpm.b,_xlpm.a*_xlpm.b)(I5,J5)</f>
        <v>660</v>
      </c>
      <c r="D28" s="5" t="n">
        <v>660</v>
      </c>
      <c r="E28" s="15" t="str">
        <f>IF(ROUND(C28,6)=ROUND(D28,6),"✓ 一致","✗ 不一致")</f>
        <v>✓ 一致</v>
      </c>
    </row>
    <row r="29">
      <c r="A29" s="16" t="inlineStr">
        <is>
          <t>动态数组 SEQUENCE（向下溢出 4 行）</t>
        </is>
      </c>
      <c r="B29" s="75" t="inlineStr">
        <is>
          <t>=SEQUENCE(4)</t>
        </is>
      </c>
      <c r="C29" s="16" cm="1">
        <f t="array" ref="C29:C32">_xlfn.SEQUENCE(4)</f>
        <v>1</v>
      </c>
      <c r="D29" s="5" t="n">
        <v>1</v>
      </c>
      <c r="E29" s="15" t="str">
        <f>IF(ROUND(C29,6)=ROUND(D29,6),"✓ 一致","✗ 不一致")</f>
        <v>✓ 一致</v>
      </c>
    </row>
    <row r="30">
      <c r="C30" s="16">
        <v>2</v>
      </c>
      <c r="D30" s="5" t="n">
        <v>2</v>
      </c>
      <c r="E30" s="15" t="str">
        <f>IF(C30=D30,"✓ 一致","✗ 不一致")</f>
        <v>✓ 一致</v>
      </c>
    </row>
    <row r="31">
      <c r="C31" s="16">
        <v>3</v>
      </c>
      <c r="D31" s="5" t="n">
        <v>3</v>
      </c>
      <c r="E31" s="15" t="str">
        <f>IF(C31=D31,"✓ 一致","✗ 不一致")</f>
        <v>✓ 一致</v>
      </c>
    </row>
    <row r="32">
      <c r="C32" s="16">
        <v>4</v>
      </c>
      <c r="D32" s="5" t="n">
        <v>4</v>
      </c>
      <c r="E32" s="15" t="str">
        <f>IF(C32=D32,"✓ 一致","✗ 不一致")</f>
        <v>✓ 一致</v>
      </c>
    </row>
    <row r="33">
      <c r="A33" s="16" t="inlineStr">
        <is>
          <t>动态数组 SORT(UNIQUE())</t>
        </is>
      </c>
      <c r="B33" s="75" t="inlineStr">
        <is>
          <t>=SORT(UNIQUE(H5:H10))</t>
        </is>
      </c>
      <c r="C33" s="16" t="str" cm="1">
        <f t="array" ref="C33:C37">_xlfn._xlws.SORT(_xlfn.UNIQUE(H5:H10))</f>
        <v>橙子</v>
      </c>
      <c r="D33" s="5" t="inlineStr">
        <is>
          <t>橙子</t>
        </is>
      </c>
      <c r="E33" s="15" t="str">
        <f>IF(C33=D33,"✓ 一致","✗ 不一致")</f>
        <v>✓ 一致</v>
      </c>
    </row>
    <row r="34">
      <c r="C34" s="16" t="str">
        <v>苹果</v>
      </c>
      <c r="D34" s="5" t="inlineStr">
        <is>
          <t>苹果</t>
        </is>
      </c>
      <c r="E34" s="15" t="str">
        <f>IF(C34=D34,"✓ 一致","✗ 不一致")</f>
        <v>✓ 一致</v>
      </c>
    </row>
    <row r="35">
      <c r="C35" s="16" t="str">
        <v>葡萄</v>
      </c>
      <c r="D35" s="5" t="inlineStr">
        <is>
          <t>葡萄</t>
        </is>
      </c>
      <c r="E35" s="15" t="str">
        <f>IF(C35=D35,"✓ 一致","✗ 不一致")</f>
        <v>✓ 一致</v>
      </c>
    </row>
    <row r="36">
      <c r="C36" s="16" t="str">
        <v>西瓜</v>
      </c>
      <c r="D36" s="5" t="inlineStr">
        <is>
          <t>西瓜</t>
        </is>
      </c>
      <c r="E36" s="15" t="str">
        <f>IF(C36=D36,"✓ 一致","✗ 不一致")</f>
        <v>✓ 一致</v>
      </c>
    </row>
    <row r="37">
      <c r="C37" s="16" t="str">
        <v>香蕉</v>
      </c>
      <c r="D37" s="5" t="inlineStr">
        <is>
          <t>香蕉</t>
        </is>
      </c>
      <c r="E37" s="15" t="str">
        <f>IF(C37=D37,"✓ 一致","✗ 不一致")</f>
        <v>✓ 一致</v>
      </c>
    </row>
    <row r="38">
      <c r="A38" s="16" t="inlineStr">
        <is>
          <t>动态数组 FILTER（数量≥150）</t>
        </is>
      </c>
      <c r="B38" s="75" t="inlineStr">
        <is>
          <t>=FILTER(H5:H10,J5:J10&gt;=150)</t>
        </is>
      </c>
      <c r="C38" s="16" t="str" cm="1">
        <f t="array" ref="C38:C40">_xlfn._xlws.FILTER(H5:H10,J5:J10&gt;=150)</f>
        <v>香蕉</v>
      </c>
      <c r="D38" s="5" t="inlineStr">
        <is>
          <t>香蕉</t>
        </is>
      </c>
      <c r="E38" s="15" t="str">
        <f>IF(C38=D38,"✓ 一致","✗ 不一致")</f>
        <v>✓ 一致</v>
      </c>
    </row>
    <row r="39">
      <c r="C39" s="16" t="str">
        <v>橙子</v>
      </c>
      <c r="D39" s="5" t="inlineStr">
        <is>
          <t>橙子</t>
        </is>
      </c>
      <c r="E39" s="15" t="str">
        <f>IF(C39=D39,"✓ 一致","✗ 不一致")</f>
        <v>✓ 一致</v>
      </c>
    </row>
    <row r="40">
      <c r="C40" s="16" t="str">
        <v>西瓜</v>
      </c>
      <c r="D40" s="5" t="inlineStr">
        <is>
          <t>西瓜</t>
        </is>
      </c>
      <c r="E40" s="15" t="str">
        <f>IF(C40=D40,"✓ 一致","✗ 不一致")</f>
        <v>✓ 一致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D7D31"/>
    <outlinePr summaryBelow="1" summaryRight="1"/>
    <pageSetUpPr/>
  </sheetPr>
  <dimension ref="A1:D34"/>
  <sheetViews>
    <sheetView showGridLines="0"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40" customWidth="1" min="2" max="2"/>
    <col width="60" customWidth="1" min="3" max="3"/>
    <col hidden="1" width="13" customWidth="1" min="4" max="4"/>
  </cols>
  <sheetData>
    <row r="1">
      <c r="A1" s="1" t="inlineStr">
        <is>
          <t>表格操作（本表隐藏了网格线，缩放 90%，冻结在 B5）</t>
        </is>
      </c>
    </row>
    <row r="2">
      <c r="A2" s="5" t="inlineStr">
        <is>
          <t>行高列宽、隐藏行列、冻结在打开时就能看到；自动填充、格式刷、剪贴板、分列按说明手动操作</t>
        </is>
      </c>
    </row>
    <row r="4">
      <c r="A4" s="9" t="inlineStr">
        <is>
          <t>说明</t>
        </is>
      </c>
      <c r="B4" s="9" t="inlineStr">
        <is>
          <t>内容</t>
        </is>
      </c>
      <c r="C4" s="9" t="inlineStr">
        <is>
          <t>操作 / 预期</t>
        </is>
      </c>
    </row>
    <row r="5" ht="48" customHeight="1">
      <c r="A5" s="16" t="inlineStr">
        <is>
          <t>行高 48</t>
        </is>
      </c>
      <c r="B5" s="16" t="inlineStr">
        <is>
          <t>这一行更高</t>
        </is>
      </c>
      <c r="C5" s="5" t="inlineStr">
        <is>
          <t>第 5 行明显比其他行高</t>
        </is>
      </c>
    </row>
    <row r="6">
      <c r="A6" s="16" t="inlineStr">
        <is>
          <t>隐藏的第 7 行</t>
        </is>
      </c>
      <c r="B6" s="16" t="inlineStr">
        <is>
          <t>下一行（第 7 行）被隐藏了</t>
        </is>
      </c>
      <c r="C6" s="5" t="inlineStr">
        <is>
          <t>行号从 6 直接跳到 8</t>
        </is>
      </c>
    </row>
    <row r="7" hidden="1">
      <c r="A7" s="16" t="inlineStr">
        <is>
          <t>我是被隐藏的行</t>
        </is>
      </c>
    </row>
    <row r="8">
      <c r="A8" s="16" t="inlineStr">
        <is>
          <t>隐藏的 D 列</t>
        </is>
      </c>
      <c r="B8" s="16" t="inlineStr">
        <is>
          <t>D 列被隐藏了（里面写着“隐藏列”）</t>
        </is>
      </c>
      <c r="C8" s="5" t="inlineStr">
        <is>
          <t>列标从 C 直接跳到 E</t>
        </is>
      </c>
      <c r="D8" s="16" t="inlineStr">
        <is>
          <t>隐藏列</t>
        </is>
      </c>
    </row>
    <row r="9">
      <c r="A9" s="16" t="inlineStr">
        <is>
          <t>列宽</t>
        </is>
      </c>
      <c r="B9" s="16" t="inlineStr">
        <is>
          <t>B 列宽 40，C 列宽 60</t>
        </is>
      </c>
      <c r="C9" s="5" t="inlineStr">
        <is>
          <t>B、C 两列明显比默认宽</t>
        </is>
      </c>
    </row>
    <row r="10">
      <c r="A10" s="16" t="inlineStr">
        <is>
          <t>冻结</t>
        </is>
      </c>
      <c r="B10" s="16" t="inlineStr">
        <is>
          <t>向下 / 向右滚动</t>
        </is>
      </c>
      <c r="C10" s="5" t="inlineStr">
        <is>
          <t>前 4 行和 A 列始终固定不动</t>
        </is>
      </c>
    </row>
    <row r="11">
      <c r="A11" s="16" t="inlineStr">
        <is>
          <t>网格线</t>
        </is>
      </c>
      <c r="B11" s="16" t="inlineStr">
        <is>
          <t>本表没有网格线</t>
        </is>
      </c>
      <c r="C11" s="5" t="inlineStr">
        <is>
          <t>视图 → 网格线 可以切换</t>
        </is>
      </c>
    </row>
    <row r="13">
      <c r="A13" s="15" t="inlineStr">
        <is>
          <t>自动填充</t>
        </is>
      </c>
      <c r="B13" s="16" t="n">
        <v>1</v>
      </c>
      <c r="C13" s="5" t="inlineStr">
        <is>
          <t>选中 B13:B14，拖动右下角填充柄到 B20，应得到 1~8 的序列</t>
        </is>
      </c>
    </row>
    <row r="14">
      <c r="B14" s="16" t="n">
        <v>2</v>
      </c>
    </row>
    <row r="22">
      <c r="B22" s="16" t="inlineStr">
        <is>
          <t>星期一</t>
        </is>
      </c>
      <c r="C22" s="5" t="inlineStr">
        <is>
          <t>选中 B22 向下拖，应得到 星期二、星期三……</t>
        </is>
      </c>
    </row>
    <row r="24">
      <c r="A24" s="15" t="inlineStr">
        <is>
          <t>格式刷</t>
        </is>
      </c>
      <c r="B24" s="76" t="inlineStr">
        <is>
          <t>源格式：红底白字</t>
        </is>
      </c>
      <c r="C24" s="5" t="inlineStr">
        <is>
          <t>选中 B24 → 开始 → 格式刷 → 点 B25，B25 变成红底白字</t>
        </is>
      </c>
    </row>
    <row r="25">
      <c r="B25" s="16" t="inlineStr">
        <is>
          <t>目标：点格式刷后刷这里</t>
        </is>
      </c>
    </row>
    <row r="27">
      <c r="A27" s="15" t="inlineStr">
        <is>
          <t>剪贴板</t>
        </is>
      </c>
      <c r="B27" s="77" t="inlineStr">
        <is>
          <t>复制我（带黄色底）</t>
        </is>
      </c>
      <c r="C27" s="5" t="inlineStr">
        <is>
          <t>复制 B27，粘贴到 B28：内容和黄底一起过来；也可以从 Excel 复制一块区域粘贴进来</t>
        </is>
      </c>
    </row>
    <row r="30">
      <c r="A30" s="15" t="inlineStr">
        <is>
          <t>分列</t>
        </is>
      </c>
      <c r="B30" s="16" t="inlineStr">
        <is>
          <t>张三|上海|30</t>
        </is>
      </c>
      <c r="C30" s="5" t="inlineStr">
        <is>
          <t>选中 B30:B32 → 数据 → 分列 → 分隔符填 |，拆成三列</t>
        </is>
      </c>
    </row>
    <row r="31">
      <c r="B31" s="16" t="inlineStr">
        <is>
          <t>李四|北京|25</t>
        </is>
      </c>
    </row>
    <row r="32">
      <c r="B32" s="16" t="inlineStr">
        <is>
          <t>王五|深圳|28</t>
        </is>
      </c>
    </row>
    <row r="34">
      <c r="A34" s="15" t="inlineStr">
        <is>
          <t>撤销重做</t>
        </is>
      </c>
      <c r="C34" s="5" t="inlineStr">
        <is>
          <t>做完上面任意操作后按 Ctrl+Z 撤销、Ctrl+Y 重做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D7D31"/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排序与筛选</t>
        </is>
      </c>
    </row>
    <row r="2">
      <c r="A2" s="5" t="inlineStr">
        <is>
          <t>已设置筛选：区域 = 华东 或 华南，且 销量 &gt; 100；共 12 行数据，筛选后显示 5 行</t>
        </is>
      </c>
    </row>
    <row r="4">
      <c r="A4" s="9" t="inlineStr">
        <is>
          <t>日期</t>
        </is>
      </c>
      <c r="B4" s="9" t="inlineStr">
        <is>
          <t>区域</t>
        </is>
      </c>
      <c r="C4" s="9" t="inlineStr">
        <is>
          <t>产品</t>
        </is>
      </c>
      <c r="D4" s="9" t="inlineStr">
        <is>
          <t>销量</t>
        </is>
      </c>
      <c r="F4" s="15" t="inlineStr">
        <is>
          <t>排序（手动）</t>
        </is>
      </c>
    </row>
    <row r="5">
      <c r="A5" s="20" t="n">
        <v>46282</v>
      </c>
      <c r="B5" s="16" t="inlineStr">
        <is>
          <t>华东</t>
        </is>
      </c>
      <c r="C5" s="16" t="inlineStr">
        <is>
          <t>苹果</t>
        </is>
      </c>
      <c r="D5" s="16" t="n">
        <v>120</v>
      </c>
      <c r="F5" s="5" t="inlineStr">
        <is>
          <t>点“销量”列的筛选按钮 → 降序，数据按销量从大到小排</t>
        </is>
      </c>
    </row>
    <row r="6" hidden="1">
      <c r="A6" s="20" t="n">
        <v>46283</v>
      </c>
      <c r="B6" s="16" t="inlineStr">
        <is>
          <t>华南</t>
        </is>
      </c>
      <c r="C6" s="16" t="inlineStr">
        <is>
          <t>香蕉</t>
        </is>
      </c>
      <c r="D6" s="16" t="n">
        <v>80</v>
      </c>
      <c r="F6" s="5" t="inlineStr">
        <is>
          <t>清除筛选后应看到全部 12 行</t>
        </is>
      </c>
    </row>
    <row r="7" hidden="1">
      <c r="A7" s="20" t="n">
        <v>46284</v>
      </c>
      <c r="B7" s="16" t="inlineStr">
        <is>
          <t>华北</t>
        </is>
      </c>
      <c r="C7" s="16" t="inlineStr">
        <is>
          <t>橙子</t>
        </is>
      </c>
      <c r="D7" s="16" t="n">
        <v>150</v>
      </c>
    </row>
    <row r="8">
      <c r="A8" s="20" t="n">
        <v>46285</v>
      </c>
      <c r="B8" s="16" t="inlineStr">
        <is>
          <t>华东</t>
        </is>
      </c>
      <c r="C8" s="16" t="inlineStr">
        <is>
          <t>葡萄</t>
        </is>
      </c>
      <c r="D8" s="16" t="n">
        <v>200</v>
      </c>
    </row>
    <row r="9" hidden="1">
      <c r="A9" s="20" t="n">
        <v>46286</v>
      </c>
      <c r="B9" s="16" t="inlineStr">
        <is>
          <t>西南</t>
        </is>
      </c>
      <c r="C9" s="16" t="inlineStr">
        <is>
          <t>西瓜</t>
        </is>
      </c>
      <c r="D9" s="16" t="n">
        <v>95</v>
      </c>
    </row>
    <row r="10">
      <c r="A10" s="20" t="n">
        <v>46287</v>
      </c>
      <c r="B10" s="16" t="inlineStr">
        <is>
          <t>华南</t>
        </is>
      </c>
      <c r="C10" s="16" t="inlineStr">
        <is>
          <t>芒果</t>
        </is>
      </c>
      <c r="D10" s="16" t="n">
        <v>160</v>
      </c>
    </row>
    <row r="11" hidden="1">
      <c r="A11" s="20" t="n">
        <v>46288</v>
      </c>
      <c r="B11" s="16" t="inlineStr">
        <is>
          <t>华北</t>
        </is>
      </c>
      <c r="C11" s="16" t="inlineStr">
        <is>
          <t>苹果</t>
        </is>
      </c>
      <c r="D11" s="16" t="n">
        <v>110</v>
      </c>
    </row>
    <row r="12" hidden="1">
      <c r="A12" s="20" t="n">
        <v>46289</v>
      </c>
      <c r="B12" s="16" t="inlineStr">
        <is>
          <t>华东</t>
        </is>
      </c>
      <c r="C12" s="16" t="inlineStr">
        <is>
          <t>香蕉</t>
        </is>
      </c>
      <c r="D12" s="16" t="n">
        <v>60</v>
      </c>
    </row>
    <row r="13" hidden="1">
      <c r="A13" s="20" t="n">
        <v>46290</v>
      </c>
      <c r="B13" s="16" t="inlineStr">
        <is>
          <t>西南</t>
        </is>
      </c>
      <c r="C13" s="16" t="inlineStr">
        <is>
          <t>橙子</t>
        </is>
      </c>
      <c r="D13" s="16" t="n">
        <v>130</v>
      </c>
    </row>
    <row r="14">
      <c r="A14" s="20" t="n">
        <v>46291</v>
      </c>
      <c r="B14" s="16" t="inlineStr">
        <is>
          <t>华南</t>
        </is>
      </c>
      <c r="C14" s="16" t="inlineStr">
        <is>
          <t>葡萄</t>
        </is>
      </c>
      <c r="D14" s="16" t="n">
        <v>140</v>
      </c>
    </row>
    <row r="15">
      <c r="A15" s="20" t="n">
        <v>46292</v>
      </c>
      <c r="B15" s="16" t="inlineStr">
        <is>
          <t>华东</t>
        </is>
      </c>
      <c r="C15" s="16" t="inlineStr">
        <is>
          <t>西瓜</t>
        </is>
      </c>
      <c r="D15" s="16" t="n">
        <v>105</v>
      </c>
    </row>
    <row r="16" hidden="1">
      <c r="A16" s="20" t="n">
        <v>46293</v>
      </c>
      <c r="B16" s="16" t="inlineStr">
        <is>
          <t>华北</t>
        </is>
      </c>
      <c r="C16" s="16" t="inlineStr">
        <is>
          <t>芒果</t>
        </is>
      </c>
      <c r="D16" s="16" t="n">
        <v>70</v>
      </c>
    </row>
  </sheetData>
  <autoFilter ref="A4:D16">
    <filterColumn colId="1" hiddenButton="0" showButton="1">
      <filters blank="0">
        <filter val="华东"/>
        <filter val="华南"/>
      </filters>
    </filterColumn>
    <filterColumn colId="3" hiddenButton="0" showButton="1">
      <customFilters>
        <customFilter val="100" operator="greaterThan"/>
      </customFilters>
    </filterColumn>
  </autoFilter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70" customWidth="1" min="3" max="3"/>
    <col width="12" customWidth="1" min="5" max="5"/>
  </cols>
  <sheetData>
    <row r="1">
      <c r="A1" s="1" t="inlineStr">
        <is>
          <t>数据验证</t>
        </is>
      </c>
    </row>
    <row r="2">
      <c r="A2" s="5" t="inlineStr">
        <is>
          <t>B 列是被验证的单元格；C 列说明规则；标“应报错”的单元格已经填了不合法的值，应该有无效标记</t>
        </is>
      </c>
    </row>
    <row r="4">
      <c r="A4" s="9" t="inlineStr">
        <is>
          <t>说明</t>
        </is>
      </c>
      <c r="B4" s="9" t="inlineStr">
        <is>
          <t>被验证单元格</t>
        </is>
      </c>
      <c r="C4" s="9" t="inlineStr">
        <is>
          <t>规则 / 预期</t>
        </is>
      </c>
      <c r="E4" s="74" t="inlineStr">
        <is>
          <t>部门列表</t>
        </is>
      </c>
    </row>
    <row r="5">
      <c r="A5" s="16" t="inlineStr">
        <is>
          <t>下拉：固定选项</t>
        </is>
      </c>
      <c r="B5" s="16" t="inlineStr">
        <is>
          <t>华东</t>
        </is>
      </c>
      <c r="C5" s="5" t="inlineStr">
        <is>
          <t>下拉选项 华东/华南/华北/西南；点单元格出现下拉箭头</t>
        </is>
      </c>
      <c r="E5" s="16" t="inlineStr">
        <is>
          <t>销售部</t>
        </is>
      </c>
    </row>
    <row r="6">
      <c r="A6" s="16" t="inlineStr">
        <is>
          <t>下拉：引用区域</t>
        </is>
      </c>
      <c r="B6" s="16" t="inlineStr">
        <is>
          <t>研发部</t>
        </is>
      </c>
      <c r="C6" s="5" t="inlineStr">
        <is>
          <t>选项来自 E5:E8；选中时显示输入提示“请选择部门”</t>
        </is>
      </c>
      <c r="E6" s="16" t="inlineStr">
        <is>
          <t>研发部</t>
        </is>
      </c>
    </row>
    <row r="7">
      <c r="A7" s="16" t="inlineStr">
        <is>
          <t>下拉：应报错</t>
        </is>
      </c>
      <c r="B7" s="16" t="inlineStr">
        <is>
          <t>市场部</t>
        </is>
      </c>
      <c r="C7" s="5" t="inlineStr">
        <is>
          <t>“市场部”不在 E5:E8 里 → 应标为无效</t>
        </is>
      </c>
      <c r="E7" s="16" t="inlineStr">
        <is>
          <t>财务部</t>
        </is>
      </c>
    </row>
    <row r="8">
      <c r="A8" s="16" t="inlineStr">
        <is>
          <t>整数 1~100</t>
        </is>
      </c>
      <c r="B8" s="16" t="n">
        <v>50</v>
      </c>
      <c r="C8" s="5" t="inlineStr">
        <is>
          <t>只能输入 1~100 的整数；输入 150 时弹出“停止”提示“请输入 1~100 的整数”</t>
        </is>
      </c>
      <c r="E8" s="16" t="inlineStr">
        <is>
          <t>人事部</t>
        </is>
      </c>
    </row>
    <row r="9">
      <c r="A9" s="16" t="inlineStr">
        <is>
          <t>整数：应报错</t>
        </is>
      </c>
      <c r="B9" s="16" t="n">
        <v>150</v>
      </c>
      <c r="C9" s="5" t="inlineStr">
        <is>
          <t>150 超出范围 → 应标为无效</t>
        </is>
      </c>
    </row>
    <row r="10">
      <c r="A10" s="16" t="inlineStr">
        <is>
          <t>小数 &gt; 0</t>
        </is>
      </c>
      <c r="B10" s="16" t="n">
        <v>3.5</v>
      </c>
      <c r="C10" s="5" t="inlineStr">
        <is>
          <t>必须大于 0；出错时是“警告”样式（可选择继续）</t>
        </is>
      </c>
    </row>
    <row r="11">
      <c r="A11" s="16" t="inlineStr">
        <is>
          <t>文本长度 ≤ 5</t>
        </is>
      </c>
      <c r="B11" s="16" t="inlineStr">
        <is>
          <t>你好</t>
        </is>
      </c>
      <c r="C11" s="5" t="inlineStr">
        <is>
          <t>长度不超过 5 个字符；出错时是“信息”样式</t>
        </is>
      </c>
    </row>
    <row r="12">
      <c r="A12" s="16" t="inlineStr">
        <is>
          <t>文本长度：应报错</t>
        </is>
      </c>
      <c r="B12" s="16" t="inlineStr">
        <is>
          <t>这段文字超过五个字</t>
        </is>
      </c>
      <c r="C12" s="5" t="inlineStr">
        <is>
          <t>超过 5 个字 → 应标为无效</t>
        </is>
      </c>
    </row>
    <row r="13">
      <c r="A13" s="16" t="inlineStr">
        <is>
          <t>日期范围（2026 年内）</t>
        </is>
      </c>
      <c r="B13" s="20" t="n">
        <v>46294</v>
      </c>
      <c r="C13" s="5" t="inlineStr">
        <is>
          <t>只能输入 2026-01-01 ~ 2026-12-31 的日期（起止用 DATE 公式写）</t>
        </is>
      </c>
    </row>
    <row r="14">
      <c r="A14" s="16" t="inlineStr">
        <is>
          <t>日期：应报错</t>
        </is>
      </c>
      <c r="B14" s="20" t="n">
        <v>45778</v>
      </c>
      <c r="C14" s="5" t="inlineStr">
        <is>
          <t>2025 年的日期 → 应标为无效</t>
        </is>
      </c>
    </row>
    <row r="15">
      <c r="A15" s="16" t="inlineStr">
        <is>
          <t>时间 9:00~18:00</t>
        </is>
      </c>
      <c r="B15" s="78" t="n">
        <v>0.4375</v>
      </c>
      <c r="C15" s="5" t="inlineStr">
        <is>
          <t>只能输入 9:00~18:00 的时间</t>
        </is>
      </c>
    </row>
    <row r="16">
      <c r="A16" s="16" t="inlineStr">
        <is>
          <t>自定义公式：偶数</t>
        </is>
      </c>
      <c r="B16" s="16" t="n">
        <v>8</v>
      </c>
      <c r="C16" s="5" t="inlineStr">
        <is>
          <t>公式 =MOD(B16,2)=0，只能输入偶数</t>
        </is>
      </c>
    </row>
    <row r="17">
      <c r="A17" s="16" t="inlineStr">
        <is>
          <t>自定义公式：应报错</t>
        </is>
      </c>
      <c r="B17" s="16" t="n">
        <v>7</v>
      </c>
      <c r="C17" s="5" t="inlineStr">
        <is>
          <t>7 不是偶数 → 应标为无效</t>
        </is>
      </c>
    </row>
  </sheetData>
  <dataValidations count="13">
    <dataValidation sqref="B5" showDropDown="0" showInputMessage="0" showErrorMessage="0" allowBlank="1" type="list">
      <formula1>"华东,华南,华北,西南"</formula1>
    </dataValidation>
    <dataValidation sqref="B6" showDropDown="0" showInputMessage="1" showErrorMessage="0" allowBlank="1" promptTitle="提示" prompt="请选择部门" type="list">
      <formula1>$E$5:$E$8</formula1>
    </dataValidation>
    <dataValidation sqref="B7" showDropDown="0" showInputMessage="0" showErrorMessage="0" allowBlank="1" type="list">
      <formula1>$E$5:$E$8</formula1>
    </dataValidation>
    <dataValidation sqref="B8" showDropDown="0" showInputMessage="0" showErrorMessage="1" allowBlank="0" errorTitle="输入错误" error="请输入 1~100 的整数" type="whole" errorStyle="stop" operator="between">
      <formula1>1</formula1>
      <formula2>100</formula2>
    </dataValidation>
    <dataValidation sqref="B9" showDropDown="0" showInputMessage="0" showErrorMessage="0" allowBlank="0" type="whole" operator="between">
      <formula1>1</formula1>
      <formula2>100</formula2>
    </dataValidation>
    <dataValidation sqref="B10" showDropDown="0" showInputMessage="0" showErrorMessage="1" allowBlank="0" error="建议输入大于 0 的数" type="decimal" errorStyle="warning" operator="greaterThan">
      <formula1>0</formula1>
    </dataValidation>
    <dataValidation sqref="B11" showDropDown="0" showInputMessage="0" showErrorMessage="1" allowBlank="0" error="最多 5 个字" type="textLength" errorStyle="information" operator="lessThanOrEqual">
      <formula1>5</formula1>
    </dataValidation>
    <dataValidation sqref="B12" showDropDown="0" showInputMessage="0" showErrorMessage="0" allowBlank="0" type="textLength" operator="lessThanOrEqual">
      <formula1>5</formula1>
    </dataValidation>
    <dataValidation sqref="B13" showDropDown="0" showInputMessage="0" showErrorMessage="1" allowBlank="0" error="只能输入 2026 年的日期" type="date" operator="between">
      <formula1>DATE(2026,1,1)</formula1>
      <formula2>DATE(2026,12,31)</formula2>
    </dataValidation>
    <dataValidation sqref="B14" showDropDown="0" showInputMessage="0" showErrorMessage="0" allowBlank="0" type="date" operator="greaterThanOrEqual">
      <formula1>46023</formula1>
    </dataValidation>
    <dataValidation sqref="B15" showDropDown="0" showInputMessage="0" showErrorMessage="0" allowBlank="0" type="time" operator="between">
      <formula1>0.375</formula1>
      <formula2>0.75</formula2>
    </dataValidation>
    <dataValidation sqref="B16" showDropDown="0" showInputMessage="0" showErrorMessage="1" allowBlank="0" error="只能输入偶数" type="custom">
      <formula1>MOD(B16,2)=0</formula1>
    </dataValidation>
    <dataValidation sqref="B17" showDropDown="0" showInputMessage="0" showErrorMessage="0" allowBlank="0" type="custom">
      <formula1>MOD(B17,2)=0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30A0"/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1" t="inlineStr">
        <is>
          <t>条件格式</t>
        </is>
      </c>
    </row>
    <row r="2">
      <c r="A2" s="5" t="inlineStr">
        <is>
          <t>每一列是一种规则，第 5 行写着规则说明，第 6 行起是数据</t>
        </is>
      </c>
    </row>
    <row r="3">
      <c r="G3" s="5" t="inlineStr">
        <is>
          <t>日期列以 2026-09-29 为基准生成，换一天打开高亮位置会变</t>
        </is>
      </c>
    </row>
    <row r="4">
      <c r="A4" s="79" t="inlineStr">
        <is>
          <t>大于 50</t>
        </is>
      </c>
      <c r="B4" s="79" t="inlineStr">
        <is>
          <t>介于 30~70</t>
        </is>
      </c>
      <c r="C4" s="79" t="inlineStr">
        <is>
          <t>等于 88</t>
        </is>
      </c>
      <c r="D4" s="79" t="inlineStr">
        <is>
          <t>文本包含</t>
        </is>
      </c>
      <c r="E4" s="79" t="inlineStr">
        <is>
          <t>开头是</t>
        </is>
      </c>
      <c r="F4" s="79" t="inlineStr">
        <is>
          <t>结尾是</t>
        </is>
      </c>
      <c r="G4" s="79" t="inlineStr">
        <is>
          <t>最近 7 天</t>
        </is>
      </c>
      <c r="H4" s="79" t="inlineStr">
        <is>
          <t>前 3 名</t>
        </is>
      </c>
      <c r="I4" s="79" t="inlineStr">
        <is>
          <t>后 20%</t>
        </is>
      </c>
      <c r="J4" s="79" t="inlineStr">
        <is>
          <t>高于平均</t>
        </is>
      </c>
      <c r="K4" s="79" t="inlineStr">
        <is>
          <t>低于平均</t>
        </is>
      </c>
      <c r="L4" s="79" t="inlineStr">
        <is>
          <t>重复值</t>
        </is>
      </c>
      <c r="M4" s="79" t="inlineStr">
        <is>
          <t>唯一值</t>
        </is>
      </c>
      <c r="N4" s="79" t="inlineStr">
        <is>
          <t>公式</t>
        </is>
      </c>
      <c r="O4" s="79" t="inlineStr">
        <is>
          <t>双色色阶</t>
        </is>
      </c>
      <c r="P4" s="79" t="inlineStr">
        <is>
          <t>三色色阶</t>
        </is>
      </c>
      <c r="Q4" s="79" t="inlineStr">
        <is>
          <t>数据条</t>
        </is>
      </c>
      <c r="R4" s="79" t="inlineStr">
        <is>
          <t>图标集：三向箭头</t>
        </is>
      </c>
      <c r="S4" s="79" t="inlineStr">
        <is>
          <t>图标集：红绿灯</t>
        </is>
      </c>
      <c r="T4" s="79" t="inlineStr">
        <is>
          <t>图标集：5 级评分</t>
        </is>
      </c>
      <c r="U4" s="79" t="inlineStr">
        <is>
          <t>图标集：只显示图标</t>
        </is>
      </c>
    </row>
    <row r="5" ht="64" customHeight="1">
      <c r="A5" s="80" t="inlineStr">
        <is>
          <t>&gt; 50 红色</t>
        </is>
      </c>
      <c r="B5" s="80" t="inlineStr">
        <is>
          <t>30~70 绿色</t>
        </is>
      </c>
      <c r="C5" s="80" t="inlineStr">
        <is>
          <t>等于 88 黄色</t>
        </is>
      </c>
      <c r="D5" s="80" t="inlineStr">
        <is>
          <t>包含“复核”红色</t>
        </is>
      </c>
      <c r="E5" s="80" t="inlineStr">
        <is>
          <t>以“已”开头绿色</t>
        </is>
      </c>
      <c r="F5" s="80" t="inlineStr">
        <is>
          <t>以“完成”结尾黄色</t>
        </is>
      </c>
      <c r="G5" s="80" t="inlineStr">
        <is>
          <t>最近 7 天绿色（按打开当天计算）</t>
        </is>
      </c>
      <c r="H5" s="80" t="inlineStr">
        <is>
          <t>最大的 3 个加粗红色</t>
        </is>
      </c>
      <c r="I5" s="80" t="inlineStr">
        <is>
          <t>最小的 20% 黄色</t>
        </is>
      </c>
      <c r="J5" s="80" t="inlineStr">
        <is>
          <t>高于平均值绿色</t>
        </is>
      </c>
      <c r="K5" s="80" t="inlineStr">
        <is>
          <t>低于平均值红色</t>
        </is>
      </c>
      <c r="L5" s="80" t="inlineStr">
        <is>
          <t>重复出现的姓名黄色</t>
        </is>
      </c>
      <c r="M5" s="80" t="inlineStr">
        <is>
          <t>只出现一次的姓名绿色</t>
        </is>
      </c>
      <c r="N5" s="80" t="inlineStr">
        <is>
          <t>公式 =MOD(N6,2)=0：偶数红色</t>
        </is>
      </c>
      <c r="O5" s="80" t="inlineStr">
        <is>
          <t>白 → 绿</t>
        </is>
      </c>
      <c r="P5" s="80" t="inlineStr">
        <is>
          <t>红 → 黄 → 绿（中点 50%）</t>
        </is>
      </c>
      <c r="Q5" s="80" t="inlineStr">
        <is>
          <t>蓝色数据条</t>
        </is>
      </c>
      <c r="R5" s="80" t="inlineStr">
        <is>
          <t>≥67% 绿上 / ≥33% 黄平 / 其余红下</t>
        </is>
      </c>
      <c r="S5" s="80" t="inlineStr">
        <is>
          <t>三色交通灯</t>
        </is>
      </c>
      <c r="T5" s="80" t="inlineStr">
        <is>
          <t>五格信号</t>
        </is>
      </c>
      <c r="U5" s="80" t="inlineStr">
        <is>
          <t>四色圆圈，不显示数字</t>
        </is>
      </c>
    </row>
    <row r="6">
      <c r="A6" s="16" t="n">
        <v>15</v>
      </c>
      <c r="B6" s="16" t="n">
        <v>15</v>
      </c>
      <c r="C6" s="16" t="n">
        <v>15</v>
      </c>
      <c r="D6" s="16" t="inlineStr">
        <is>
          <t>需要复核</t>
        </is>
      </c>
      <c r="E6" s="16" t="inlineStr">
        <is>
          <t>需要复核</t>
        </is>
      </c>
      <c r="F6" s="16" t="inlineStr">
        <is>
          <t>需要复核</t>
        </is>
      </c>
      <c r="G6" s="20" t="n">
        <v>46294</v>
      </c>
      <c r="H6" s="16" t="n">
        <v>15</v>
      </c>
      <c r="I6" s="16" t="n">
        <v>15</v>
      </c>
      <c r="J6" s="16" t="n">
        <v>15</v>
      </c>
      <c r="K6" s="16" t="n">
        <v>15</v>
      </c>
      <c r="L6" s="16" t="inlineStr">
        <is>
          <t>张三</t>
        </is>
      </c>
      <c r="M6" s="16" t="inlineStr">
        <is>
          <t>张三</t>
        </is>
      </c>
      <c r="N6" s="16" t="n">
        <v>15</v>
      </c>
      <c r="O6" s="16" t="n">
        <v>15</v>
      </c>
      <c r="P6" s="16" t="n">
        <v>15</v>
      </c>
      <c r="Q6" s="16" t="n">
        <v>15</v>
      </c>
      <c r="R6" s="16" t="n">
        <v>15</v>
      </c>
      <c r="S6" s="16" t="n">
        <v>15</v>
      </c>
      <c r="T6" s="16" t="n">
        <v>15</v>
      </c>
      <c r="U6" s="16" t="n">
        <v>15</v>
      </c>
    </row>
    <row r="7">
      <c r="A7" s="16" t="n">
        <v>42</v>
      </c>
      <c r="B7" s="16" t="n">
        <v>42</v>
      </c>
      <c r="C7" s="16" t="n">
        <v>42</v>
      </c>
      <c r="D7" s="16" t="inlineStr">
        <is>
          <t>已完成</t>
        </is>
      </c>
      <c r="E7" s="16" t="inlineStr">
        <is>
          <t>已完成</t>
        </is>
      </c>
      <c r="F7" s="16" t="inlineStr">
        <is>
          <t>已完成</t>
        </is>
      </c>
      <c r="G7" s="20" t="n">
        <v>46293</v>
      </c>
      <c r="H7" s="16" t="n">
        <v>42</v>
      </c>
      <c r="I7" s="16" t="n">
        <v>42</v>
      </c>
      <c r="J7" s="16" t="n">
        <v>42</v>
      </c>
      <c r="K7" s="16" t="n">
        <v>42</v>
      </c>
      <c r="L7" s="16" t="inlineStr">
        <is>
          <t>李四</t>
        </is>
      </c>
      <c r="M7" s="16" t="inlineStr">
        <is>
          <t>李四</t>
        </is>
      </c>
      <c r="N7" s="16" t="n">
        <v>42</v>
      </c>
      <c r="O7" s="16" t="n">
        <v>42</v>
      </c>
      <c r="P7" s="16" t="n">
        <v>42</v>
      </c>
      <c r="Q7" s="16" t="n">
        <v>42</v>
      </c>
      <c r="R7" s="16" t="n">
        <v>42</v>
      </c>
      <c r="S7" s="16" t="n">
        <v>42</v>
      </c>
      <c r="T7" s="16" t="n">
        <v>42</v>
      </c>
      <c r="U7" s="16" t="n">
        <v>42</v>
      </c>
    </row>
    <row r="8">
      <c r="A8" s="16" t="n">
        <v>88</v>
      </c>
      <c r="B8" s="16" t="n">
        <v>88</v>
      </c>
      <c r="C8" s="16" t="n">
        <v>88</v>
      </c>
      <c r="D8" s="16" t="inlineStr">
        <is>
          <t>待复核</t>
        </is>
      </c>
      <c r="E8" s="16" t="inlineStr">
        <is>
          <t>待复核</t>
        </is>
      </c>
      <c r="F8" s="16" t="inlineStr">
        <is>
          <t>待复核</t>
        </is>
      </c>
      <c r="G8" s="20" t="n">
        <v>46291</v>
      </c>
      <c r="H8" s="16" t="n">
        <v>88</v>
      </c>
      <c r="I8" s="16" t="n">
        <v>88</v>
      </c>
      <c r="J8" s="16" t="n">
        <v>88</v>
      </c>
      <c r="K8" s="16" t="n">
        <v>88</v>
      </c>
      <c r="L8" s="16" t="inlineStr">
        <is>
          <t>王五</t>
        </is>
      </c>
      <c r="M8" s="16" t="inlineStr">
        <is>
          <t>王五</t>
        </is>
      </c>
      <c r="N8" s="16" t="n">
        <v>88</v>
      </c>
      <c r="O8" s="16" t="n">
        <v>88</v>
      </c>
      <c r="P8" s="16" t="n">
        <v>88</v>
      </c>
      <c r="Q8" s="16" t="n">
        <v>88</v>
      </c>
      <c r="R8" s="16" t="n">
        <v>88</v>
      </c>
      <c r="S8" s="16" t="n">
        <v>88</v>
      </c>
      <c r="T8" s="16" t="n">
        <v>88</v>
      </c>
      <c r="U8" s="16" t="n">
        <v>88</v>
      </c>
    </row>
    <row r="9">
      <c r="A9" s="16" t="n">
        <v>7</v>
      </c>
      <c r="B9" s="16" t="n">
        <v>7</v>
      </c>
      <c r="C9" s="16" t="n">
        <v>7</v>
      </c>
      <c r="D9" s="16" t="inlineStr">
        <is>
          <t>完成</t>
        </is>
      </c>
      <c r="E9" s="16" t="inlineStr">
        <is>
          <t>完成</t>
        </is>
      </c>
      <c r="F9" s="16" t="inlineStr">
        <is>
          <t>完成</t>
        </is>
      </c>
      <c r="G9" s="20" t="n">
        <v>46284</v>
      </c>
      <c r="H9" s="16" t="n">
        <v>7</v>
      </c>
      <c r="I9" s="16" t="n">
        <v>7</v>
      </c>
      <c r="J9" s="16" t="n">
        <v>7</v>
      </c>
      <c r="K9" s="16" t="n">
        <v>7</v>
      </c>
      <c r="L9" s="16" t="inlineStr">
        <is>
          <t>张三</t>
        </is>
      </c>
      <c r="M9" s="16" t="inlineStr">
        <is>
          <t>张三</t>
        </is>
      </c>
      <c r="N9" s="16" t="n">
        <v>7</v>
      </c>
      <c r="O9" s="16" t="n">
        <v>7</v>
      </c>
      <c r="P9" s="16" t="n">
        <v>7</v>
      </c>
      <c r="Q9" s="16" t="n">
        <v>7</v>
      </c>
      <c r="R9" s="16" t="n">
        <v>7</v>
      </c>
      <c r="S9" s="16" t="n">
        <v>7</v>
      </c>
      <c r="T9" s="16" t="n">
        <v>7</v>
      </c>
      <c r="U9" s="16" t="n">
        <v>7</v>
      </c>
    </row>
    <row r="10">
      <c r="A10" s="16" t="n">
        <v>63</v>
      </c>
      <c r="B10" s="16" t="n">
        <v>63</v>
      </c>
      <c r="C10" s="16" t="n">
        <v>63</v>
      </c>
      <c r="D10" s="16" t="inlineStr">
        <is>
          <t>复核中</t>
        </is>
      </c>
      <c r="E10" s="16" t="inlineStr">
        <is>
          <t>复核中</t>
        </is>
      </c>
      <c r="F10" s="16" t="inlineStr">
        <is>
          <t>复核中</t>
        </is>
      </c>
      <c r="G10" s="20" t="n">
        <v>46295</v>
      </c>
      <c r="H10" s="16" t="n">
        <v>63</v>
      </c>
      <c r="I10" s="16" t="n">
        <v>63</v>
      </c>
      <c r="J10" s="16" t="n">
        <v>63</v>
      </c>
      <c r="K10" s="16" t="n">
        <v>63</v>
      </c>
      <c r="L10" s="16" t="inlineStr">
        <is>
          <t>赵六</t>
        </is>
      </c>
      <c r="M10" s="16" t="inlineStr">
        <is>
          <t>赵六</t>
        </is>
      </c>
      <c r="N10" s="16" t="n">
        <v>63</v>
      </c>
      <c r="O10" s="16" t="n">
        <v>63</v>
      </c>
      <c r="P10" s="16" t="n">
        <v>63</v>
      </c>
      <c r="Q10" s="16" t="n">
        <v>63</v>
      </c>
      <c r="R10" s="16" t="n">
        <v>63</v>
      </c>
      <c r="S10" s="16" t="n">
        <v>63</v>
      </c>
      <c r="T10" s="16" t="n">
        <v>63</v>
      </c>
      <c r="U10" s="16" t="n">
        <v>63</v>
      </c>
    </row>
    <row r="11">
      <c r="A11" s="16" t="n">
        <v>91</v>
      </c>
      <c r="B11" s="16" t="n">
        <v>91</v>
      </c>
      <c r="C11" s="16" t="n">
        <v>91</v>
      </c>
      <c r="D11" s="16" t="inlineStr">
        <is>
          <t>取消</t>
        </is>
      </c>
      <c r="E11" s="16" t="inlineStr">
        <is>
          <t>取消</t>
        </is>
      </c>
      <c r="F11" s="16" t="inlineStr">
        <is>
          <t>取消</t>
        </is>
      </c>
      <c r="G11" s="20" t="n">
        <v>46254</v>
      </c>
      <c r="H11" s="16" t="n">
        <v>91</v>
      </c>
      <c r="I11" s="16" t="n">
        <v>91</v>
      </c>
      <c r="J11" s="16" t="n">
        <v>91</v>
      </c>
      <c r="K11" s="16" t="n">
        <v>91</v>
      </c>
      <c r="L11" s="16" t="inlineStr">
        <is>
          <t>李四</t>
        </is>
      </c>
      <c r="M11" s="16" t="inlineStr">
        <is>
          <t>李四</t>
        </is>
      </c>
      <c r="N11" s="16" t="n">
        <v>91</v>
      </c>
      <c r="O11" s="16" t="n">
        <v>91</v>
      </c>
      <c r="P11" s="16" t="n">
        <v>91</v>
      </c>
      <c r="Q11" s="16" t="n">
        <v>91</v>
      </c>
      <c r="R11" s="16" t="n">
        <v>91</v>
      </c>
      <c r="S11" s="16" t="n">
        <v>91</v>
      </c>
      <c r="T11" s="16" t="n">
        <v>91</v>
      </c>
      <c r="U11" s="16" t="n">
        <v>91</v>
      </c>
    </row>
    <row r="12">
      <c r="A12" s="16" t="n">
        <v>28</v>
      </c>
      <c r="B12" s="16" t="n">
        <v>28</v>
      </c>
      <c r="C12" s="16" t="n">
        <v>28</v>
      </c>
      <c r="D12" s="16" t="inlineStr">
        <is>
          <t>已复核</t>
        </is>
      </c>
      <c r="E12" s="16" t="inlineStr">
        <is>
          <t>已复核</t>
        </is>
      </c>
      <c r="F12" s="16" t="inlineStr">
        <is>
          <t>已复核</t>
        </is>
      </c>
      <c r="G12" s="20" t="n">
        <v>46289</v>
      </c>
      <c r="H12" s="16" t="n">
        <v>28</v>
      </c>
      <c r="I12" s="16" t="n">
        <v>28</v>
      </c>
      <c r="J12" s="16" t="n">
        <v>28</v>
      </c>
      <c r="K12" s="16" t="n">
        <v>28</v>
      </c>
      <c r="L12" s="16" t="inlineStr">
        <is>
          <t>孙七</t>
        </is>
      </c>
      <c r="M12" s="16" t="inlineStr">
        <is>
          <t>孙七</t>
        </is>
      </c>
      <c r="N12" s="16" t="n">
        <v>28</v>
      </c>
      <c r="O12" s="16" t="n">
        <v>28</v>
      </c>
      <c r="P12" s="16" t="n">
        <v>28</v>
      </c>
      <c r="Q12" s="16" t="n">
        <v>28</v>
      </c>
      <c r="R12" s="16" t="n">
        <v>28</v>
      </c>
      <c r="S12" s="16" t="n">
        <v>28</v>
      </c>
      <c r="T12" s="16" t="n">
        <v>28</v>
      </c>
      <c r="U12" s="16" t="n">
        <v>28</v>
      </c>
    </row>
    <row r="13">
      <c r="A13" s="16" t="n">
        <v>55</v>
      </c>
      <c r="B13" s="16" t="n">
        <v>55</v>
      </c>
      <c r="C13" s="16" t="n">
        <v>55</v>
      </c>
      <c r="D13" s="16" t="inlineStr">
        <is>
          <t>进行中</t>
        </is>
      </c>
      <c r="E13" s="16" t="inlineStr">
        <is>
          <t>进行中</t>
        </is>
      </c>
      <c r="F13" s="16" t="inlineStr">
        <is>
          <t>进行中</t>
        </is>
      </c>
      <c r="G13" s="20" t="n">
        <v>46314</v>
      </c>
      <c r="H13" s="16" t="n">
        <v>55</v>
      </c>
      <c r="I13" s="16" t="n">
        <v>55</v>
      </c>
      <c r="J13" s="16" t="n">
        <v>55</v>
      </c>
      <c r="K13" s="16" t="n">
        <v>55</v>
      </c>
      <c r="L13" s="16" t="inlineStr">
        <is>
          <t>周八</t>
        </is>
      </c>
      <c r="M13" s="16" t="inlineStr">
        <is>
          <t>周八</t>
        </is>
      </c>
      <c r="N13" s="16" t="n">
        <v>55</v>
      </c>
      <c r="O13" s="16" t="n">
        <v>55</v>
      </c>
      <c r="P13" s="16" t="n">
        <v>55</v>
      </c>
      <c r="Q13" s="16" t="n">
        <v>55</v>
      </c>
      <c r="R13" s="16" t="n">
        <v>55</v>
      </c>
      <c r="S13" s="16" t="n">
        <v>55</v>
      </c>
      <c r="T13" s="16" t="n">
        <v>55</v>
      </c>
      <c r="U13" s="16" t="n">
        <v>55</v>
      </c>
    </row>
    <row r="14">
      <c r="A14" s="16" t="n">
        <v>34</v>
      </c>
      <c r="B14" s="16" t="n">
        <v>34</v>
      </c>
      <c r="C14" s="16" t="n">
        <v>34</v>
      </c>
      <c r="D14" s="16" t="inlineStr">
        <is>
          <t>完成</t>
        </is>
      </c>
      <c r="E14" s="16" t="inlineStr">
        <is>
          <t>完成</t>
        </is>
      </c>
      <c r="F14" s="16" t="inlineStr">
        <is>
          <t>完成</t>
        </is>
      </c>
      <c r="G14" s="20" t="n">
        <v>46292</v>
      </c>
      <c r="H14" s="16" t="n">
        <v>34</v>
      </c>
      <c r="I14" s="16" t="n">
        <v>34</v>
      </c>
      <c r="J14" s="16" t="n">
        <v>34</v>
      </c>
      <c r="K14" s="16" t="n">
        <v>34</v>
      </c>
      <c r="L14" s="16" t="inlineStr">
        <is>
          <t>张三</t>
        </is>
      </c>
      <c r="M14" s="16" t="inlineStr">
        <is>
          <t>张三</t>
        </is>
      </c>
      <c r="N14" s="16" t="n">
        <v>34</v>
      </c>
      <c r="O14" s="16" t="n">
        <v>34</v>
      </c>
      <c r="P14" s="16" t="n">
        <v>34</v>
      </c>
      <c r="Q14" s="16" t="n">
        <v>34</v>
      </c>
      <c r="R14" s="16" t="n">
        <v>34</v>
      </c>
      <c r="S14" s="16" t="n">
        <v>34</v>
      </c>
      <c r="T14" s="16" t="n">
        <v>34</v>
      </c>
      <c r="U14" s="16" t="n">
        <v>34</v>
      </c>
    </row>
    <row r="15">
      <c r="A15" s="16" t="n">
        <v>76</v>
      </c>
      <c r="B15" s="16" t="n">
        <v>76</v>
      </c>
      <c r="C15" s="16" t="n">
        <v>76</v>
      </c>
      <c r="D15" s="16" t="inlineStr">
        <is>
          <t>复核</t>
        </is>
      </c>
      <c r="E15" s="16" t="inlineStr">
        <is>
          <t>复核</t>
        </is>
      </c>
      <c r="F15" s="16" t="inlineStr">
        <is>
          <t>复核</t>
        </is>
      </c>
      <c r="G15" s="20" t="n">
        <v>46234</v>
      </c>
      <c r="H15" s="16" t="n">
        <v>76</v>
      </c>
      <c r="I15" s="16" t="n">
        <v>76</v>
      </c>
      <c r="J15" s="16" t="n">
        <v>76</v>
      </c>
      <c r="K15" s="16" t="n">
        <v>76</v>
      </c>
      <c r="L15" s="16" t="inlineStr">
        <is>
          <t>吴九</t>
        </is>
      </c>
      <c r="M15" s="16" t="inlineStr">
        <is>
          <t>吴九</t>
        </is>
      </c>
      <c r="N15" s="16" t="n">
        <v>76</v>
      </c>
      <c r="O15" s="16" t="n">
        <v>76</v>
      </c>
      <c r="P15" s="16" t="n">
        <v>76</v>
      </c>
      <c r="Q15" s="16" t="n">
        <v>76</v>
      </c>
      <c r="R15" s="16" t="n">
        <v>76</v>
      </c>
      <c r="S15" s="16" t="n">
        <v>76</v>
      </c>
      <c r="T15" s="16" t="n">
        <v>76</v>
      </c>
      <c r="U15" s="16" t="n">
        <v>76</v>
      </c>
    </row>
  </sheetData>
  <conditionalFormatting sqref="A6:A15">
    <cfRule type="cellIs" priority="1" operator="greaterThan" dxfId="0">
      <formula>50</formula>
    </cfRule>
  </conditionalFormatting>
  <conditionalFormatting sqref="B6:B15">
    <cfRule type="cellIs" priority="2" operator="between" dxfId="1">
      <formula>30</formula>
      <formula>70</formula>
    </cfRule>
  </conditionalFormatting>
  <conditionalFormatting sqref="C6:C15">
    <cfRule type="cellIs" priority="3" operator="equal" dxfId="2">
      <formula>88</formula>
    </cfRule>
  </conditionalFormatting>
  <conditionalFormatting sqref="D6:D15">
    <cfRule type="containsText" priority="4" operator="containsText" dxfId="0" text="复核">
      <formula>NOT(ISERROR(SEARCH("复核",D6)))</formula>
    </cfRule>
  </conditionalFormatting>
  <conditionalFormatting sqref="E6:E15">
    <cfRule type="beginsWith" priority="5" operator="beginsWith" dxfId="1" text="已">
      <formula>LEFT(E6,LEN("已"))="已"</formula>
    </cfRule>
  </conditionalFormatting>
  <conditionalFormatting sqref="F6:F15">
    <cfRule type="endsWith" priority="6" operator="endsWith" dxfId="2" text="完成">
      <formula>RIGHT(F6,LEN("完成"))="完成"</formula>
    </cfRule>
  </conditionalFormatting>
  <conditionalFormatting sqref="G6:G15">
    <cfRule type="timePeriod" priority="7" dxfId="1" timePeriod="last7Days">
      <formula>AND(TODAY()-FLOOR(G6,1)&lt;=6,FLOOR(G6,1)&lt;=TODAY())</formula>
    </cfRule>
  </conditionalFormatting>
  <conditionalFormatting sqref="H6:H15">
    <cfRule type="top10" rank="3" priority="8" dxfId="0"/>
  </conditionalFormatting>
  <conditionalFormatting sqref="I6:I15">
    <cfRule type="top10" rank="20" priority="9" dxfId="2" percent="1" bottom="1"/>
  </conditionalFormatting>
  <conditionalFormatting sqref="J6:J15">
    <cfRule type="aboveAverage" priority="10" aboveAverage="1" dxfId="1"/>
  </conditionalFormatting>
  <conditionalFormatting sqref="K6:K15">
    <cfRule type="aboveAverage" priority="11" aboveAverage="0" dxfId="0"/>
  </conditionalFormatting>
  <conditionalFormatting sqref="L6:L15">
    <cfRule type="duplicateValues" priority="12" dxfId="2"/>
  </conditionalFormatting>
  <conditionalFormatting sqref="M6:M15">
    <cfRule type="uniqueValues" priority="13" dxfId="1"/>
  </conditionalFormatting>
  <conditionalFormatting sqref="N6:N15">
    <cfRule type="expression" priority="14" dxfId="0">
      <formula>MOD(N6,2)=0</formula>
    </cfRule>
  </conditionalFormatting>
  <conditionalFormatting sqref="O6:O15">
    <cfRule type="colorScale" priority="15">
      <colorScale>
        <cfvo type="min"/>
        <cfvo type="max"/>
        <color rgb="00FFFFFF"/>
        <color rgb="0063BE7B"/>
      </colorScale>
    </cfRule>
  </conditionalFormatting>
  <conditionalFormatting sqref="P6:P1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:Q15">
    <cfRule type="dataBar" priority="17">
      <dataBar showValue="1">
        <cfvo type="min"/>
        <cfvo type="max"/>
        <color rgb="00638EC6"/>
      </dataBar>
    </cfRule>
  </conditionalFormatting>
  <conditionalFormatting sqref="R6:R15">
    <cfRule type="iconSet" priority="18">
      <iconSet iconSet="3Arrows">
        <cfvo type="percent" val="0"/>
        <cfvo type="percent" val="33"/>
        <cfvo type="percent" val="67"/>
      </iconSet>
    </cfRule>
  </conditionalFormatting>
  <conditionalFormatting sqref="S6:S15">
    <cfRule type="iconSet" priority="19">
      <iconSet iconSet="3TrafficLights1">
        <cfvo type="percent" val="0"/>
        <cfvo type="percent" val="33"/>
        <cfvo type="percent" val="67"/>
      </iconSet>
    </cfRule>
  </conditionalFormatting>
  <conditionalFormatting sqref="T6:T15">
    <cfRule type="iconSet" priority="20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U6:U15">
    <cfRule type="iconSet" priority="21">
      <iconSet iconSet="4RedToBlack" showValue="0">
        <cfvo type="percent" val="0"/>
        <cfvo type="percent" val="25"/>
        <cfvo type="percent" val="50"/>
        <cfvo type="percent" val="75"/>
      </iconSet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7030A0"/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2" customWidth="1" min="5" max="5"/>
    <col width="20" customWidth="1" min="7" max="7"/>
    <col width="14" customWidth="1" min="8" max="8"/>
  </cols>
  <sheetData>
    <row r="1">
      <c r="A1" s="1" t="inlineStr">
        <is>
          <t>超级表（Excel 表格）</t>
        </is>
      </c>
    </row>
    <row r="2">
      <c r="A2" s="5" t="inlineStr">
        <is>
          <t>A4:E10 是一张名为“员工表”的表格：带表头、筛选按钮、隔行条纹；E 列是公式列</t>
        </is>
      </c>
    </row>
    <row r="4">
      <c r="A4" s="81" t="inlineStr">
        <is>
          <t>员工</t>
        </is>
      </c>
      <c r="B4" s="81" t="inlineStr">
        <is>
          <t>部门</t>
        </is>
      </c>
      <c r="C4" s="81" t="inlineStr">
        <is>
          <t>基本工资</t>
        </is>
      </c>
      <c r="D4" s="81" t="inlineStr">
        <is>
          <t>绩效系数</t>
        </is>
      </c>
      <c r="E4" s="81" t="inlineStr">
        <is>
          <t>实发</t>
        </is>
      </c>
      <c r="G4" s="15" t="inlineStr">
        <is>
          <t>实发合计</t>
        </is>
      </c>
      <c r="H4" s="82">
        <f>SUM(E5:E10)</f>
        <v>64450</v>
      </c>
    </row>
    <row r="5">
      <c r="A5" s="16" t="inlineStr">
        <is>
          <t>张三</t>
        </is>
      </c>
      <c r="B5" s="16" t="inlineStr">
        <is>
          <t>销售部</t>
        </is>
      </c>
      <c r="C5" s="82" t="n">
        <v>8000</v>
      </c>
      <c r="D5" s="83" t="n">
        <v>1.2</v>
      </c>
      <c r="E5" s="82">
        <f>C5*D5</f>
        <v>9600</v>
      </c>
      <c r="G5" s="5" t="inlineStr">
        <is>
          <t>预期</t>
        </is>
      </c>
      <c r="H5" s="84" t="n">
        <v>64450</v>
      </c>
    </row>
    <row r="6">
      <c r="A6" s="16" t="inlineStr">
        <is>
          <t>李四</t>
        </is>
      </c>
      <c r="B6" s="16" t="inlineStr">
        <is>
          <t>研发部</t>
        </is>
      </c>
      <c r="C6" s="82" t="n">
        <v>12000</v>
      </c>
      <c r="D6" s="83" t="n">
        <v>1</v>
      </c>
      <c r="E6" s="82">
        <f>C6*D6</f>
        <v>12000</v>
      </c>
    </row>
    <row r="7">
      <c r="A7" s="16" t="inlineStr">
        <is>
          <t>王五</t>
        </is>
      </c>
      <c r="B7" s="16" t="inlineStr">
        <is>
          <t>销售部</t>
        </is>
      </c>
      <c r="C7" s="82" t="n">
        <v>7500</v>
      </c>
      <c r="D7" s="83" t="n">
        <v>1.5</v>
      </c>
      <c r="E7" s="82">
        <f>C7*D7</f>
        <v>11250</v>
      </c>
    </row>
    <row r="8">
      <c r="A8" s="16" t="inlineStr">
        <is>
          <t>赵六</t>
        </is>
      </c>
      <c r="B8" s="16" t="inlineStr">
        <is>
          <t>财务部</t>
        </is>
      </c>
      <c r="C8" s="82" t="n">
        <v>9000</v>
      </c>
      <c r="D8" s="83" t="n">
        <v>0.9</v>
      </c>
      <c r="E8" s="82">
        <f>C8*D8</f>
        <v>8100</v>
      </c>
    </row>
    <row r="9">
      <c r="A9" s="16" t="inlineStr">
        <is>
          <t>孙七</t>
        </is>
      </c>
      <c r="B9" s="16" t="inlineStr">
        <is>
          <t>研发部</t>
        </is>
      </c>
      <c r="C9" s="82" t="n">
        <v>15000</v>
      </c>
      <c r="D9" s="83" t="n">
        <v>1.1</v>
      </c>
      <c r="E9" s="82">
        <f>C9*D9</f>
        <v>16500</v>
      </c>
    </row>
    <row r="10">
      <c r="A10" s="16" t="inlineStr">
        <is>
          <t>周八</t>
        </is>
      </c>
      <c r="B10" s="16" t="inlineStr">
        <is>
          <t>人事部</t>
        </is>
      </c>
      <c r="C10" s="82" t="n">
        <v>7000</v>
      </c>
      <c r="D10" s="83" t="n">
        <v>1</v>
      </c>
      <c r="E10" s="82">
        <f>C10*D10</f>
        <v>7000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00FFC000"/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60" customWidth="1" min="3" max="3"/>
  </cols>
  <sheetData>
    <row r="1">
      <c r="A1" s="1" t="inlineStr">
        <is>
          <t>批注与评论</t>
        </is>
      </c>
    </row>
    <row r="2">
      <c r="A2" s="5" t="inlineStr">
        <is>
          <t>批注（旧式 note）和评论（Excel 365 新式评论，含回复）都有</t>
        </is>
      </c>
    </row>
    <row r="4">
      <c r="A4" s="9" t="inlineStr">
        <is>
          <t>单元格</t>
        </is>
      </c>
      <c r="B4" s="9" t="inlineStr">
        <is>
          <t>类型</t>
        </is>
      </c>
      <c r="C4" s="9" t="inlineStr">
        <is>
          <t>内容 / 预期</t>
        </is>
      </c>
    </row>
    <row r="5">
      <c r="A5" s="16" t="inlineStr">
        <is>
          <t>有批注的单元格</t>
        </is>
      </c>
      <c r="B5" s="16" t="inlineStr">
        <is>
          <t>批注</t>
        </is>
      </c>
      <c r="C5" s="5" t="inlineStr">
        <is>
          <t>鼠标移到 A5 显示批注“这是一条批注”</t>
        </is>
      </c>
    </row>
    <row r="6">
      <c r="A6" s="16" t="inlineStr">
        <is>
          <t>多行批注</t>
        </is>
      </c>
      <c r="B6" s="16" t="inlineStr">
        <is>
          <t>批注</t>
        </is>
      </c>
      <c r="C6" s="5" t="inlineStr">
        <is>
          <t>A6 的批注有三行</t>
        </is>
      </c>
    </row>
    <row r="8">
      <c r="A8" s="16" t="inlineStr">
        <is>
          <t>有评论的单元格</t>
        </is>
      </c>
      <c r="B8" s="16" t="inlineStr">
        <is>
          <t>评论</t>
        </is>
      </c>
      <c r="C8" s="5" t="inlineStr">
        <is>
          <t>A8 有一条评论（王经理）和一条回复（小李）</t>
        </is>
      </c>
    </row>
    <row r="9">
      <c r="A9" s="16" t="inlineStr">
        <is>
          <t>已解决的评论</t>
        </is>
      </c>
      <c r="B9" s="16" t="inlineStr">
        <is>
          <t>评论</t>
        </is>
      </c>
      <c r="C9" s="5" t="inlineStr">
        <is>
          <t>A9 有一条评论，状态是“已解决”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tabColor rgb="00C00000"/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50" customWidth="1" min="3" max="3"/>
  </cols>
  <sheetData>
    <row r="1">
      <c r="A1" s="1" t="inlineStr">
        <is>
          <t>保护：只有黄色单元格可以编辑</t>
        </is>
      </c>
    </row>
    <row r="2">
      <c r="A2" s="5" t="inlineStr">
        <is>
          <t>工作表已保护（无密码），B5:B8 设为“未锁定”，其余单元格都不能改</t>
        </is>
      </c>
    </row>
    <row r="4">
      <c r="A4" s="9" t="inlineStr">
        <is>
          <t>项目</t>
        </is>
      </c>
      <c r="B4" s="9" t="inlineStr">
        <is>
          <t>输入（可编辑）</t>
        </is>
      </c>
      <c r="C4" s="9" t="inlineStr">
        <is>
          <t>说明</t>
        </is>
      </c>
    </row>
    <row r="5">
      <c r="A5" s="16" t="inlineStr">
        <is>
          <t>姓名</t>
        </is>
      </c>
      <c r="B5" s="85" t="inlineStr">
        <is>
          <t>张三</t>
        </is>
      </c>
      <c r="C5" s="5" t="inlineStr">
        <is>
          <t>可以修改</t>
        </is>
      </c>
    </row>
    <row r="6">
      <c r="A6" s="16" t="inlineStr">
        <is>
          <t>部门</t>
        </is>
      </c>
      <c r="B6" s="85" t="inlineStr">
        <is>
          <t>销售部</t>
        </is>
      </c>
      <c r="C6" s="5" t="inlineStr">
        <is>
          <t>可以修改</t>
        </is>
      </c>
    </row>
    <row r="7">
      <c r="A7" s="16" t="inlineStr">
        <is>
          <t>工号</t>
        </is>
      </c>
      <c r="B7" s="85" t="n">
        <v>1024</v>
      </c>
      <c r="C7" s="5" t="inlineStr">
        <is>
          <t>可以修改</t>
        </is>
      </c>
    </row>
    <row r="8">
      <c r="A8" s="16" t="inlineStr">
        <is>
          <t>备注</t>
        </is>
      </c>
      <c r="B8" s="85" t="inlineStr"/>
      <c r="C8" s="5" t="inlineStr">
        <is>
          <t>可以修改</t>
        </is>
      </c>
    </row>
    <row r="10">
      <c r="A10" s="16" t="inlineStr">
        <is>
          <t>锁定区域</t>
        </is>
      </c>
      <c r="B10" s="16" t="inlineStr">
        <is>
          <t>不能改</t>
        </is>
      </c>
      <c r="C10" s="5" t="inlineStr">
        <is>
          <t>尝试修改 B10 或 A 列，应被阻止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0" formatRows="1" sort="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C00000"/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保护：整张表只读</t>
        </is>
      </c>
    </row>
    <row r="2">
      <c r="A2" s="5" t="inlineStr">
        <is>
          <t>工作表已保护（无密码），所有单元格都是锁定状态</t>
        </is>
      </c>
    </row>
    <row r="4">
      <c r="A4" s="16" t="inlineStr">
        <is>
          <t>试着修改任意单元格</t>
        </is>
      </c>
    </row>
    <row r="5">
      <c r="A5" s="5" t="inlineStr">
        <is>
          <t>应该提示受保护、无法编辑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00B0F0"/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超链接与图片</t>
        </is>
      </c>
    </row>
    <row r="2">
      <c r="A2" s="5" t="inlineStr">
        <is>
          <t>A 列是超链接，右侧是两张浮动图片</t>
        </is>
      </c>
    </row>
    <row r="4">
      <c r="A4" s="86" t="inlineStr">
        <is>
          <t>Univer 官网</t>
        </is>
      </c>
      <c r="B4" s="5" t="inlineStr">
        <is>
          <t>外部网址：点击打开 https://univer.ai</t>
        </is>
      </c>
    </row>
    <row r="5">
      <c r="A5" s="86" t="inlineStr">
        <is>
          <t>跳到「公式」表 C5</t>
        </is>
      </c>
      <c r="B5" s="5" t="inlineStr">
        <is>
          <t>内部链接：点击跳到「公式」工作表的 C5</t>
        </is>
      </c>
    </row>
    <row r="6">
      <c r="A6" s="86" t="inlineStr">
        <is>
          <t>跳到「超级表」表 A4</t>
        </is>
      </c>
      <c r="B6" s="5" t="inlineStr">
        <is>
          <t>内部链接：点击跳到「超级表」工作表的 A4</t>
        </is>
      </c>
    </row>
    <row r="7">
      <c r="A7" s="86" t="inlineStr">
        <is>
          <t>发邮件</t>
        </is>
      </c>
      <c r="B7" s="5" t="inlineStr">
        <is>
          <t>邮件链接：mailto:test@example.com</t>
        </is>
      </c>
    </row>
    <row r="10">
      <c r="A10" s="15" t="inlineStr">
        <is>
          <t>图片</t>
        </is>
      </c>
      <c r="B10" s="5" t="inlineStr">
        <is>
          <t>D4 起一张 240×150 的彩色柱状图（PNG）</t>
        </is>
      </c>
    </row>
    <row r="11">
      <c r="B11" s="5" t="inlineStr">
        <is>
          <t>D14 起一张 160×100 的深蓝底黄色圆（JPEG）</t>
        </is>
      </c>
    </row>
  </sheetData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7" r:id="rId4"/>
  </hyperlinks>
  <pageMargins left="0.75" right="0.75" top="1" bottom="1" header="0.5" footer="0.5"/>
  <drawing xmlns:r="http://schemas.openxmlformats.org/officeDocument/2006/relationships" r:id="rId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6" t="inlineStr">
        <is>
          <t>这张工作表是隐藏的，取消隐藏后才能看到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2026-09-29T10:46:24Z</dcterms:created>
  <dcterms:modified xmlns:dcterms="http://purl.org/dc/terms/" xmlns:xsi="http://www.w3.org/2001/XMLSchema-instance" xsi:type="dcterms:W3CDTF">2026-09-29T10:46:24Z</dcterms:modified>
</cp:coreProperties>
</file>